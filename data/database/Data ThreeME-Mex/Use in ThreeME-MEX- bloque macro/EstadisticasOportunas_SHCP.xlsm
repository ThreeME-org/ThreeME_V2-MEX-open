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0116"/>
  <workbookPr defaultThemeVersion="166925"/>
  <mc:AlternateContent xmlns:mc="http://schemas.openxmlformats.org/markup-compatibility/2006">
    <mc:Choice Requires="x15">
      <x15ac:absPath xmlns:x15ac="http://schemas.microsoft.com/office/spreadsheetml/2010/11/ac" url="/Users/gissela.landa/Dropbox (FOSEM)/AFD SENER Mexico/Projet SENER/Sectors/"/>
    </mc:Choice>
  </mc:AlternateContent>
  <bookViews>
    <workbookView xWindow="2320" yWindow="1380" windowWidth="25840" windowHeight="15120" activeTab="2" xr2:uid="{00000000-000D-0000-FFFF-FFFF00000000}"/>
  </bookViews>
  <sheets>
    <sheet name="Ingreso presupuetario SP" sheetId="1" r:id="rId1"/>
    <sheet name="Balance del sector publico" sheetId="2" r:id="rId2"/>
    <sheet name="Situacion financiera del SP" sheetId="3" r:id="rId3"/>
    <sheet name="Saldos de la deuda SP" sheetId="4" r:id="rId4"/>
  </sheets>
  <definedNames>
    <definedName name="_xlnm.Print_Titles" localSheetId="1">'Balance del sector publico'!$1:$2</definedName>
    <definedName name="_xlnm.Print_Titles" localSheetId="0">'Ingreso presupuetario SP'!$1:$2</definedName>
    <definedName name="_xlnm.Print_Titles" localSheetId="3">'Saldos de la deuda SP'!$1:$2</definedName>
    <definedName name="_xlnm.Print_Titles" localSheetId="2">'Situacion financiera del SP'!$1:$2</definedName>
  </definedNames>
  <calcPr calcId="171027" concurrentCalc="0"/>
</workbook>
</file>

<file path=xl/calcChain.xml><?xml version="1.0" encoding="utf-8"?>
<calcChain xmlns="http://schemas.openxmlformats.org/spreadsheetml/2006/main">
  <c r="D15" i="4" l="1"/>
  <c r="R4" i="1"/>
  <c r="S4" i="1"/>
</calcChain>
</file>

<file path=xl/sharedStrings.xml><?xml version="1.0" encoding="utf-8"?>
<sst xmlns="http://schemas.openxmlformats.org/spreadsheetml/2006/main" count="452" uniqueCount="187">
  <si>
    <r>
      <t xml:space="preserve"> </t>
    </r>
    <r>
      <rPr>
        <b/>
        <sz val="10"/>
        <rFont val="Arial"/>
        <family val="2"/>
      </rPr>
      <t xml:space="preserve"> </t>
    </r>
    <r>
      <rPr>
        <b/>
        <sz val="15"/>
        <rFont val="Arial"/>
        <family val="2"/>
      </rPr>
      <t>Ingresos Presupuestarios del Sector Público Año actual vs año anterior, Enero-Diciembre (2012-2013), Millones de pesos_x000D_</t>
    </r>
    <r>
      <rPr>
        <b/>
        <sz val="10"/>
        <rFont val="Arial"/>
        <family val="2"/>
      </rPr>
      <t xml:space="preserve"> </t>
    </r>
    <r>
      <rPr>
        <sz val="10"/>
        <rFont val="Arial"/>
        <family val="2"/>
      </rPr>
      <t xml:space="preserve"> Consulta Actual: 5/2/2018 </t>
    </r>
  </si>
  <si>
    <r>
      <t xml:space="preserve"> </t>
    </r>
    <r>
      <rPr>
        <b/>
        <sz val="10"/>
        <rFont val="Arial"/>
        <family val="2"/>
      </rPr>
      <t xml:space="preserve"> </t>
    </r>
    <r>
      <rPr>
        <b/>
        <sz val="15"/>
        <rFont val="Arial"/>
        <family val="2"/>
      </rPr>
      <t>Gasto Neto del Sector Público Presupuestario Año actual vs año anterior, Enero-Diciembre (2012-2013), Millones de pesos_x000D_</t>
    </r>
    <r>
      <rPr>
        <b/>
        <sz val="10"/>
        <rFont val="Arial"/>
        <family val="2"/>
      </rPr>
      <t xml:space="preserve"> </t>
    </r>
    <r>
      <rPr>
        <sz val="10"/>
        <rFont val="Arial"/>
        <family val="2"/>
      </rPr>
      <t xml:space="preserve"> Consulta Actual: 5/2/2018 </t>
    </r>
  </si>
  <si>
    <t xml:space="preserve"> Concepto </t>
  </si>
  <si>
    <t xml:space="preserve"> Diciembre </t>
  </si>
  <si>
    <t xml:space="preserve"> Enero-Diciembre </t>
  </si>
  <si>
    <t>PIB</t>
  </si>
  <si>
    <t xml:space="preserve"> 2012 </t>
  </si>
  <si>
    <t xml:space="preserve"> 2013 </t>
  </si>
  <si>
    <t xml:space="preserve"> Crec. real % </t>
  </si>
  <si>
    <t>Total</t>
  </si>
  <si>
    <t xml:space="preserve">Petroleros 1_/ </t>
  </si>
  <si>
    <t xml:space="preserve">Programable 1_/ </t>
  </si>
  <si>
    <t>Gobierno Federal</t>
  </si>
  <si>
    <t>Corriente</t>
  </si>
  <si>
    <t>Pemex</t>
  </si>
  <si>
    <t>Servicios personales</t>
  </si>
  <si>
    <t>No petroleros</t>
  </si>
  <si>
    <t>Directos</t>
  </si>
  <si>
    <t>Indirectos</t>
  </si>
  <si>
    <t>Tributarios</t>
  </si>
  <si>
    <t>Otros gastos de operación</t>
  </si>
  <si>
    <t>Impuesto sobre la renta</t>
  </si>
  <si>
    <t>Materiales y suministros</t>
  </si>
  <si>
    <t>Impuesto al valor agregado</t>
  </si>
  <si>
    <t>Servicios generales</t>
  </si>
  <si>
    <t>Impuesto especial sobre producción y servicios</t>
  </si>
  <si>
    <t>n.s.</t>
  </si>
  <si>
    <t>Otras erogaciones</t>
  </si>
  <si>
    <t>IEPS gasolinas y diesel</t>
  </si>
  <si>
    <t>Subsidios y transferencias</t>
  </si>
  <si>
    <t>IEPS distinto de gasolinas y diesel</t>
  </si>
  <si>
    <t>Capital</t>
  </si>
  <si>
    <t>Impuestos a la importación</t>
  </si>
  <si>
    <t>Inversión física</t>
  </si>
  <si>
    <t>Impuesto por la actividad de exploración y explotación de hidrocarburos</t>
  </si>
  <si>
    <t>n.d.</t>
  </si>
  <si>
    <t>n.a.</t>
  </si>
  <si>
    <t>Directo</t>
  </si>
  <si>
    <t xml:space="preserve">Otros impuestos 2_/ </t>
  </si>
  <si>
    <t>Indirecto</t>
  </si>
  <si>
    <t>No tributarios</t>
  </si>
  <si>
    <t>-o-</t>
  </si>
  <si>
    <t>Otros gastos de capital</t>
  </si>
  <si>
    <t>Derechos</t>
  </si>
  <si>
    <t xml:space="preserve">Aprovechamientos 3_/ </t>
  </si>
  <si>
    <t>Otros</t>
  </si>
  <si>
    <t>No programable</t>
  </si>
  <si>
    <t>Organismos de control presupuestario directo</t>
  </si>
  <si>
    <t>Costo financiero</t>
  </si>
  <si>
    <t>IMSS</t>
  </si>
  <si>
    <t>Participaciones</t>
  </si>
  <si>
    <t>ISSSTE</t>
  </si>
  <si>
    <t>Adefas y otros</t>
  </si>
  <si>
    <t>Empresa productiva del estado (CFE)</t>
  </si>
  <si>
    <t>Partidas informativas:</t>
  </si>
  <si>
    <t>Gasto corriente</t>
  </si>
  <si>
    <t>Partidas informativas</t>
  </si>
  <si>
    <t>Gasto de capital</t>
  </si>
  <si>
    <t>Gasto de pensiones</t>
  </si>
  <si>
    <t>No Tributarios</t>
  </si>
  <si>
    <t>1_/  Con el fin de no doble contabilizar el ingreso y el gasto público se excluyen las operaciones compensadas que son aquellas transacciones que representan un ingreso para las entidades bajo control presupuestario directo y un gasto para el Gobierno Federal (subsidios, transferencias y aportaciones al ISSSTE).</t>
  </si>
  <si>
    <t>1_/  Hasta 2014 incluye los ingresos propios de Pemex y los derechos sobre hidrocarburos. A partir de 2015 incluye los ingresos propios de Pemex, las transferencias del Fondo Mexicano del Petróleo para la Estabilización y el Desarrollo y el impuesto sobre la renta de contratistas y asignatarios por explotación de hidrocarburos.</t>
  </si>
  <si>
    <t>Notas: Las sumas parciales y las variaciones pueden no coincidir debido al redondeo.</t>
  </si>
  <si>
    <t>2_/  Incluye los impuestos sobre automóviles nuevos, exportaciones, no comprendidos en las fracciones anteriores y accesorios.</t>
  </si>
  <si>
    <t>Las cifras son preliminares para 2017.</t>
  </si>
  <si>
    <t>3_/  En enero-diciembre de 2016 y 2017 incluye recursos por el remanente de operación del Banco de México (ROBM) por 239,093.8 y 321,653.3 millones de pesos respectivamente.</t>
  </si>
  <si>
    <t>-o-: mayor de 500 o menor de -500 por ciento.</t>
  </si>
  <si>
    <t>n.s.: no significativo.</t>
  </si>
  <si>
    <t>n.a.: no aplica</t>
  </si>
  <si>
    <t>n.s.: no significativo</t>
  </si>
  <si>
    <t>n.d.: no disponible.</t>
  </si>
  <si>
    <t>La información como porcentaje del PIB, se presenta utilizando el PIB anual con base al cálculo trimestral base 2013.</t>
  </si>
  <si>
    <t>n.d.: no disponible</t>
  </si>
  <si>
    <t>Área: Dirección General de Estadística de la Hacienda Pública. Unidad de Planeación Económica de la Hacienda Pública.</t>
  </si>
  <si>
    <t>Para mayores detalles sobre la información que aparece en este cuadro estadístico, favor de contactar al teléfono (01) (55) 3688,1441.</t>
  </si>
  <si>
    <t>Correo electrónico:</t>
  </si>
  <si>
    <t xml:space="preserve"> shcp_ehacendaria@hacienda.gob.mx </t>
  </si>
  <si>
    <r>
      <t xml:space="preserve"> </t>
    </r>
    <r>
      <rPr>
        <b/>
        <sz val="10"/>
        <rFont val="Arial"/>
        <family val="2"/>
      </rPr>
      <t xml:space="preserve"> </t>
    </r>
    <r>
      <rPr>
        <b/>
        <sz val="15"/>
        <rFont val="Arial"/>
        <family val="2"/>
      </rPr>
      <t>Balance del Sector Público Año actual vs año anterior, Enero-Diciembre (2012-2013), Millones de pesos_x000D_</t>
    </r>
    <r>
      <rPr>
        <b/>
        <sz val="10"/>
        <rFont val="Arial"/>
        <family val="2"/>
      </rPr>
      <t xml:space="preserve"> </t>
    </r>
    <r>
      <rPr>
        <sz val="10"/>
        <rFont val="Arial"/>
        <family val="2"/>
      </rPr>
      <t xml:space="preserve"> Consulta Actual: 5/2/2018 </t>
    </r>
  </si>
  <si>
    <t>Balance público</t>
  </si>
  <si>
    <t>Balance presupuestario</t>
  </si>
  <si>
    <t>Organismos de contro presupuestario directo</t>
  </si>
  <si>
    <t>Empresas productivas del estado</t>
  </si>
  <si>
    <t>CFE</t>
  </si>
  <si>
    <t>Otras</t>
  </si>
  <si>
    <t>Entidades bajo control presupuestario indirecto</t>
  </si>
  <si>
    <t>Balance no presupuestario</t>
  </si>
  <si>
    <t>Diferencias con fuentes de financiamiento</t>
  </si>
  <si>
    <t>Balance primario</t>
  </si>
  <si>
    <t>Organismos y empresas</t>
  </si>
  <si>
    <t>n.a.: no aplica.</t>
  </si>
  <si>
    <r>
      <t xml:space="preserve"> </t>
    </r>
    <r>
      <rPr>
        <b/>
        <sz val="10"/>
        <rFont val="Arial"/>
        <family val="2"/>
      </rPr>
      <t xml:space="preserve"> </t>
    </r>
    <r>
      <rPr>
        <b/>
        <sz val="15"/>
        <rFont val="Arial"/>
        <family val="2"/>
      </rPr>
      <t>Situación Financiera del Sector Público Año actual vs año anterior, Enero-Diciembre (2012-2013), Millones de pesos_x000D_</t>
    </r>
    <r>
      <rPr>
        <b/>
        <sz val="10"/>
        <rFont val="Arial"/>
        <family val="2"/>
      </rPr>
      <t xml:space="preserve"> </t>
    </r>
    <r>
      <rPr>
        <sz val="10"/>
        <rFont val="Arial"/>
        <family val="2"/>
      </rPr>
      <t xml:space="preserve"> Consulta Actual: 5/2/2018 </t>
    </r>
  </si>
  <si>
    <t>A. Ingresos Presupuestarios</t>
  </si>
  <si>
    <t xml:space="preserve">Pemex 2_/ </t>
  </si>
  <si>
    <t xml:space="preserve">No tributarios 3_/ </t>
  </si>
  <si>
    <t>B. Gasto Neto Pagado</t>
  </si>
  <si>
    <t>Programable</t>
  </si>
  <si>
    <t xml:space="preserve">Servicios personales 4_/ </t>
  </si>
  <si>
    <t xml:space="preserve">Pensiones y jubilaciones 5_/ </t>
  </si>
  <si>
    <t xml:space="preserve">Subsidios, transferencias y aportaciones 6_/ </t>
  </si>
  <si>
    <t xml:space="preserve">Ayudas y otros gastos 7_/ </t>
  </si>
  <si>
    <t xml:space="preserve">Inversión física 8_/ </t>
  </si>
  <si>
    <t xml:space="preserve">Inversión financiera y otros 9_/ </t>
  </si>
  <si>
    <t>Intereses, comisiones y gastos</t>
  </si>
  <si>
    <t>Sector paraestatal</t>
  </si>
  <si>
    <t>Apoyo a ahorradores y deudores</t>
  </si>
  <si>
    <t>IPAB</t>
  </si>
  <si>
    <t xml:space="preserve">Adefas y otros 10_/ </t>
  </si>
  <si>
    <t>C. Balance presupuestario (A - B)</t>
  </si>
  <si>
    <t>D. Balance no presupuestario</t>
  </si>
  <si>
    <t>E. Balance público (C   D) = ( F   G)</t>
  </si>
  <si>
    <t>F. Recursos externos</t>
  </si>
  <si>
    <t>G. Recursos internos</t>
  </si>
  <si>
    <t>2_/  En enero-diciembre de 2016 incluye recursos por el apoyo del Gobierno Federal vía aportación patrimonial a Pemex y CFE por 160,730.6 y 161,080.2 millones de pesos respectivamente.</t>
  </si>
  <si>
    <t>4_/  Incluye el gasto de las dependencias y entidades en presupuesto, así como las aportaciones federales para entidades federativas y municipios, y las transferencias que se otorgan a las entidades bajo control presupuestario indirecto para el pago de servicios personales.</t>
  </si>
  <si>
    <t>5_/  De 1995 a 2001 incluye el pago de pensiones del IMSS y el ISSSTE. De 2002 a la fecha incluye el pago de pensiones del IMSS y el ISSSTE; el pago de pensiones y jubilaciones de Pemex y CFE; y el pago de pensiones y ayudas pagadas directamente por el Ramo 19 Aportaciones a Seguridad Social.</t>
  </si>
  <si>
    <t>6_/  Excluye las transferencias que se otorgan para el pago de servicios personales.</t>
  </si>
  <si>
    <t>7_/  De 1990 a 2000 incluye ayudas y el gasto ajeno de terceros en las entidades bajo control presupuestario directo menos los ingresos por terceros. De 2001 a la fecha incluye ayudas y otros gastos corrientes, así como el gasto ajeno de terceros en las entidades bajo control presupuestario directo menos los ingresos por terceros.</t>
  </si>
  <si>
    <t>8_/  Incluye el gasto de las dependencias y entidades bajo control presupuestario directo, así como las aportaciones federales para entidades federativas y municipios, y las transferencias que se otorgan a las entidades bajo presupuesto para el pago de servicios personales.</t>
  </si>
  <si>
    <t>9_/  En enero-diciembre de 2016 y 2017 incluye adquisición de activos financieros por 71,728.1 y 189,027.8 millones de pesos respectivamente con cargo a recursos excedentes a los estimados en la Ley de Ingresos de la Federación, incluidos los recursos por el remante de operación del Banco de México. Además en 2016 el apoyo del Gobierno Federal vía aportación patrimonial a Pemex por 160,730.6 y 161,080.2 millones de pesos respectivamente. Para las entidades incluye operaciones recuperables en términos netos (ingreso menos gasto), por ello el monto en algunas ocasiones puede ser negativo.</t>
  </si>
  <si>
    <t>10_/  Incluye Adeudos de Ejercicios Fiscales Anteriores (Adefas) y el gasto neto efectuado por el Gobierno Federal a nombre de terceros (cuentas ajenas al presupuesto).</t>
  </si>
  <si>
    <r>
      <t xml:space="preserve"> </t>
    </r>
    <r>
      <rPr>
        <b/>
        <sz val="10"/>
        <rFont val="Arial"/>
        <family val="2"/>
      </rPr>
      <t xml:space="preserve"> </t>
    </r>
    <r>
      <rPr>
        <b/>
        <sz val="15"/>
        <rFont val="Arial"/>
        <family val="2"/>
      </rPr>
      <t>Saldos de la Deuda del Sector Público Federal Variaciones, saldos de la deuda, Diciembre (2013), Millones_x000D_</t>
    </r>
    <r>
      <rPr>
        <b/>
        <sz val="10"/>
        <rFont val="Arial"/>
        <family val="2"/>
      </rPr>
      <t xml:space="preserve"> </t>
    </r>
    <r>
      <rPr>
        <sz val="10"/>
        <rFont val="Arial"/>
        <family val="2"/>
      </rPr>
      <t xml:space="preserve"> Consulta Actual: 5/2/2018 </t>
    </r>
  </si>
  <si>
    <t xml:space="preserve"> 2011 </t>
  </si>
  <si>
    <t>DEUDA INTERNA</t>
  </si>
  <si>
    <t/>
  </si>
  <si>
    <t>Deuda Interna Neta (pesos)</t>
  </si>
  <si>
    <t>Deuda Interna Bruta (pesos)</t>
  </si>
  <si>
    <t>DEUDA EXTERNA</t>
  </si>
  <si>
    <t>Deuda Externa Neta (dólares)</t>
  </si>
  <si>
    <t>Deuda Externa Bruta (dólares)</t>
  </si>
  <si>
    <t>TOTAL DE DEUDA</t>
  </si>
  <si>
    <t>NETA (pesos)</t>
  </si>
  <si>
    <t>NETA (dólares)</t>
  </si>
  <si>
    <t>BRUTA (pesos)</t>
  </si>
  <si>
    <t>BRUTA (dólares)</t>
  </si>
  <si>
    <t>La información como porcentaje del PIB base 2013. A partir de abril de 2017 para la información de deuda se presenta utilizando el PIB anual con base al cálculo trimestral.</t>
  </si>
  <si>
    <t>n.d. no disponible</t>
  </si>
  <si>
    <t>n.a. no aplica</t>
  </si>
  <si>
    <t>Responsable: Jesús Coy Arroyo.</t>
  </si>
  <si>
    <t>Área: Dirección General Adjunta de Deuda Pública. Unidad de Crédito Público.</t>
  </si>
  <si>
    <t>Para mayores detalles sobre la información que aparece en este cuadro estadístico, favor de contactar al teléfono (01) (55) 3688 -1730.</t>
  </si>
  <si>
    <t xml:space="preserve"> jesus_coy@hacienda.gob.mx </t>
  </si>
  <si>
    <r>
      <t xml:space="preserve"> </t>
    </r>
    <r>
      <rPr>
        <b/>
        <sz val="10"/>
        <rFont val="Arial"/>
        <family val="2"/>
      </rPr>
      <t xml:space="preserve"> </t>
    </r>
    <r>
      <rPr>
        <b/>
        <sz val="15"/>
        <rFont val="Arial"/>
        <family val="2"/>
      </rPr>
      <t>Deuda Interna del Sector Público Federal Variaciones, saldos de la deuda, Enero-Diciembre (2013), Millones de pesos (Flujos Acumulados)_x000D_</t>
    </r>
    <r>
      <rPr>
        <b/>
        <sz val="10"/>
        <rFont val="Arial"/>
        <family val="2"/>
      </rPr>
      <t xml:space="preserve"> </t>
    </r>
    <r>
      <rPr>
        <sz val="10"/>
        <rFont val="Arial"/>
        <family val="2"/>
      </rPr>
      <t xml:space="preserve"> Consulta Actual: 5/2/2018 </t>
    </r>
  </si>
  <si>
    <t xml:space="preserve"> Saldo a Diciembre </t>
  </si>
  <si>
    <t xml:space="preserve"> Endeudamiento - Millones de pesos </t>
  </si>
  <si>
    <t xml:space="preserve"> Disposición </t>
  </si>
  <si>
    <t xml:space="preserve"> Amortización </t>
  </si>
  <si>
    <t xml:space="preserve"> Endeudamiento Neto </t>
  </si>
  <si>
    <t xml:space="preserve"> Ajustes </t>
  </si>
  <si>
    <t>Deuda Neta</t>
  </si>
  <si>
    <t>Activos</t>
  </si>
  <si>
    <t>Deuda  Bruta</t>
  </si>
  <si>
    <t>Estructura por plazo</t>
  </si>
  <si>
    <t>Largo plazo</t>
  </si>
  <si>
    <t>Corto plazo</t>
  </si>
  <si>
    <t>Estructura por Usuario</t>
  </si>
  <si>
    <t xml:space="preserve">Organismos y empresas 1_/ </t>
  </si>
  <si>
    <t>Banca de Desarrollo</t>
  </si>
  <si>
    <t>Por fuentes de financiamiento</t>
  </si>
  <si>
    <t>Emisión de Valores</t>
  </si>
  <si>
    <t>Fondo de Ahorro SAR</t>
  </si>
  <si>
    <t>Banca Comercial</t>
  </si>
  <si>
    <t>Obligaciones por Ley del ISSSTE</t>
  </si>
  <si>
    <t xml:space="preserve">Bonos de Pensión PEMEX 2_/ </t>
  </si>
  <si>
    <t xml:space="preserve">Bonos de Pensión CFE 3_/ </t>
  </si>
  <si>
    <t>1_/  A partir de 2015, este concepto se refiere a las empresas productivas del estado (Pemex y CFE).</t>
  </si>
  <si>
    <t>2_/  Obligaciones asociadas a la asunción del Gobierno Federal de una proporción de las obligaciones de pago de las pensiones y jubilaciones a cargo de Pemex y sus subsidiarias, conforme a lo que establece el Acuerdo por el que se emiten las disposiciones de carácter general relativas a la asunción por parte del Gobierno Federal de obligaciones de pago de pensiones y jubilaciones a cargo de Petróleos Mexicanos y sus empresas productivas subsidiarias, publicado en el Diario Oficial de la Federación el 24 de diciembre de 2015. Este saldo es el resultado de la suscripción de títulos de crédito a favor de Pemex por 184.2 mil millones de pesos en agosto de 2016, la cancelación del título emitido en diciembre de 2015 por 50 mil millones de pesos en la misma fecha y la amortización de 46,591 millones de pesos derivados del intercambio de títulos de crédito por Bondes D el 15 de agosto de 2016. Dicha operación generó intereses por 409 millones de pesos, registrados en el Ramo 24, que junto con la amortización de 46,591 millones de pesos corresponde a los 47 mil millones de pesos que se le intercambiaron a Pemex por Bondes D.</t>
  </si>
  <si>
    <t>3_/  Obligaciones asociadas al apoyo financiero por parte del Gobierno Federal a CFE por el ahorro generado en su pasivo pensionario, conforme a lo que establece el ¿Acuerdo por el que se emiten las disposiciones de carácter general relativas a la asunción por parte del Gobierno Federal de obligaciones de pago de pensiones y jubilaciones a cargo de la Comisión Federal de Electricidad¿, publicado en el DOF, el 14 de noviembre de 2016.</t>
  </si>
  <si>
    <r>
      <t xml:space="preserve"> </t>
    </r>
    <r>
      <rPr>
        <b/>
        <sz val="10"/>
        <rFont val="Arial"/>
        <family val="2"/>
      </rPr>
      <t xml:space="preserve"> </t>
    </r>
    <r>
      <rPr>
        <b/>
        <sz val="15"/>
        <rFont val="Arial"/>
        <family val="2"/>
      </rPr>
      <t>Deuda Externa del Sector Público Federal Variaciones, saldos de la deuda, Enero-Diciembre (2013), Millones de dólares (Flujos Acumulados)_x000D_</t>
    </r>
    <r>
      <rPr>
        <b/>
        <sz val="10"/>
        <rFont val="Arial"/>
        <family val="2"/>
      </rPr>
      <t xml:space="preserve"> </t>
    </r>
    <r>
      <rPr>
        <sz val="10"/>
        <rFont val="Arial"/>
        <family val="2"/>
      </rPr>
      <t xml:space="preserve"> Consulta Actual: 5/2/2018 </t>
    </r>
  </si>
  <si>
    <t xml:space="preserve"> Endeudamiento - Millones de dólares </t>
  </si>
  <si>
    <t>DEUDA NETA</t>
  </si>
  <si>
    <t>Activos Financieros en moneda extranjera</t>
  </si>
  <si>
    <t>DEUDA BRUTA</t>
  </si>
  <si>
    <t xml:space="preserve">Organismos y Empresas 1_/ </t>
  </si>
  <si>
    <t>Reestructurada 1989 - 1990</t>
  </si>
  <si>
    <t>Bonos a la Par (Brady)</t>
  </si>
  <si>
    <t>Bonos de Descuento (Brady)</t>
  </si>
  <si>
    <t>Bonos de la Banca Española</t>
  </si>
  <si>
    <t>Base de Dinero 1990 - 1992</t>
  </si>
  <si>
    <t>Bonos de Reprivatización</t>
  </si>
  <si>
    <t>Mercado Bancario</t>
  </si>
  <si>
    <t>Fondo de Estabilización</t>
  </si>
  <si>
    <t>Comercio Exterior</t>
  </si>
  <si>
    <t>Mercado de Capitales</t>
  </si>
  <si>
    <t>Organismos Financieros internacionales (OFIS)</t>
  </si>
  <si>
    <t>Proveedores</t>
  </si>
  <si>
    <t>Colocaciones Privadas</t>
  </si>
  <si>
    <t>Pidiregas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</si>
</sst>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2"/>
      <color indexed="8"/>
      <name val="Calibri"/>
      <family val="2"/>
    </font>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8"/>
      <name val="Arial"/>
      <family val="2"/>
    </font>
    <font>
      <sz val="9"/>
      <name val="Arial"/>
      <family val="2"/>
    </font>
    <font>
      <sz val="10"/>
      <name val="Arial"/>
      <family val="2"/>
    </font>
    <font>
      <b/>
      <sz val="10"/>
      <name val="Arial"/>
      <family val="2"/>
    </font>
    <font>
      <b/>
      <sz val="15"/>
      <name val="Arial"/>
      <family val="2"/>
    </font>
    <font>
      <sz val="12"/>
      <color indexed="8"/>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808080"/>
        <bgColor indexed="64"/>
      </patternFill>
    </fill>
    <fill>
      <patternFill patternType="solid">
        <fgColor rgb="FFDCDCDC"/>
        <bgColor indexed="64"/>
      </patternFill>
    </fill>
    <fill>
      <patternFill patternType="solid">
        <fgColor rgb="FFFFFFFF"/>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E4E4E4"/>
      </left>
      <right style="thin">
        <color rgb="FFE4E4E4"/>
      </right>
      <top style="thin">
        <color rgb="FFE4E4E4"/>
      </top>
      <bottom style="thin">
        <color rgb="FFE4E4E4"/>
      </bottom>
      <diagonal/>
    </border>
    <border>
      <left style="thin">
        <color rgb="FFE4E4E4"/>
      </left>
      <right style="thin">
        <color rgb="FFE4E4E4"/>
      </right>
      <top style="thin">
        <color rgb="FFE4E4E4"/>
      </top>
      <bottom/>
      <diagonal/>
    </border>
    <border>
      <left style="thin">
        <color rgb="FFE4E4E4"/>
      </left>
      <right style="thin">
        <color rgb="FFE4E4E4"/>
      </right>
      <top/>
      <bottom style="thin">
        <color rgb="FFE4E4E4"/>
      </bottom>
      <diagonal/>
    </border>
    <border>
      <left style="thin">
        <color rgb="FFE4E4E4"/>
      </left>
      <right/>
      <top style="thin">
        <color rgb="FFE4E4E4"/>
      </top>
      <bottom style="thin">
        <color rgb="FFE4E4E4"/>
      </bottom>
      <diagonal/>
    </border>
    <border>
      <left/>
      <right/>
      <top style="thin">
        <color rgb="FFE4E4E4"/>
      </top>
      <bottom style="thin">
        <color rgb="FFE4E4E4"/>
      </bottom>
      <diagonal/>
    </border>
    <border>
      <left/>
      <right style="thin">
        <color rgb="FFE4E4E4"/>
      </right>
      <top style="thin">
        <color rgb="FFE4E4E4"/>
      </top>
      <bottom style="thin">
        <color rgb="FFE4E4E4"/>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style="thin">
        <color rgb="FFFFFFFF"/>
      </right>
      <top style="thin">
        <color rgb="FFFFFFFF"/>
      </top>
      <bottom style="thin">
        <color rgb="FFFFFFFF"/>
      </bottom>
      <diagonal/>
    </border>
    <border>
      <left/>
      <right/>
      <top style="thin">
        <color rgb="FFFFFFFF"/>
      </top>
      <bottom style="thin">
        <color rgb="FFFFFFFF"/>
      </bottom>
      <diagonal/>
    </border>
  </borders>
  <cellStyleXfs count="44">
    <xf numFmtId="0" fontId="0" fillId="0" borderId="0"/>
    <xf numFmtId="9" fontId="24" fillId="0" borderId="0" applyFont="0" applyFill="0" applyBorder="0" applyAlignment="0" applyProtection="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2" fillId="8" borderId="8" applyNumberFormat="0" applyFon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1" fillId="0" borderId="0"/>
  </cellStyleXfs>
  <cellXfs count="48">
    <xf numFmtId="0" fontId="0" fillId="0" borderId="0" xfId="0"/>
    <xf numFmtId="0" fontId="20" fillId="0" borderId="10" xfId="0" applyFont="1" applyFill="1" applyBorder="1" applyAlignment="1" applyProtection="1">
      <alignment vertical="top"/>
    </xf>
    <xf numFmtId="0" fontId="20" fillId="33" borderId="10" xfId="0" applyFont="1" applyFill="1" applyBorder="1" applyAlignment="1" applyProtection="1">
      <alignment horizontal="center" wrapText="1"/>
    </xf>
    <xf numFmtId="0" fontId="22" fillId="34" borderId="10" xfId="0" applyFont="1" applyFill="1" applyBorder="1" applyAlignment="1" applyProtection="1">
      <alignment horizontal="left" vertical="top" indent="1"/>
    </xf>
    <xf numFmtId="164" fontId="20" fillId="34" borderId="10" xfId="0" applyNumberFormat="1" applyFont="1" applyFill="1" applyBorder="1" applyAlignment="1" applyProtection="1">
      <alignment horizontal="right" vertical="top"/>
    </xf>
    <xf numFmtId="164" fontId="20" fillId="0" borderId="10" xfId="0" applyNumberFormat="1" applyFont="1" applyFill="1" applyBorder="1" applyAlignment="1" applyProtection="1">
      <alignment vertical="top"/>
    </xf>
    <xf numFmtId="10" fontId="20" fillId="0" borderId="10" xfId="1" applyNumberFormat="1" applyFont="1" applyFill="1" applyBorder="1" applyAlignment="1" applyProtection="1">
      <alignment vertical="top"/>
    </xf>
    <xf numFmtId="0" fontId="20" fillId="35" borderId="10" xfId="0" applyFont="1" applyFill="1" applyBorder="1" applyAlignment="1" applyProtection="1">
      <alignment horizontal="left" vertical="top" indent="2"/>
    </xf>
    <xf numFmtId="164" fontId="20" fillId="35" borderId="10" xfId="0" applyNumberFormat="1" applyFont="1" applyFill="1" applyBorder="1" applyAlignment="1" applyProtection="1">
      <alignment horizontal="right" vertical="top"/>
    </xf>
    <xf numFmtId="0" fontId="20" fillId="34" borderId="10" xfId="0" applyFont="1" applyFill="1" applyBorder="1" applyAlignment="1" applyProtection="1">
      <alignment horizontal="left" vertical="top" indent="3"/>
    </xf>
    <xf numFmtId="0" fontId="20" fillId="35" borderId="10" xfId="0" applyFont="1" applyFill="1" applyBorder="1" applyAlignment="1" applyProtection="1">
      <alignment horizontal="left" vertical="top" indent="3"/>
    </xf>
    <xf numFmtId="0" fontId="20" fillId="35" borderId="10" xfId="0" applyFont="1" applyFill="1" applyBorder="1" applyAlignment="1" applyProtection="1">
      <alignment horizontal="left" vertical="top" indent="4"/>
    </xf>
    <xf numFmtId="0" fontId="20" fillId="34" borderId="10" xfId="0" applyFont="1" applyFill="1" applyBorder="1" applyAlignment="1" applyProtection="1">
      <alignment horizontal="left" vertical="top" indent="2"/>
    </xf>
    <xf numFmtId="0" fontId="20" fillId="34" borderId="10" xfId="0" applyFont="1" applyFill="1" applyBorder="1" applyAlignment="1" applyProtection="1">
      <alignment horizontal="left" vertical="top" indent="5"/>
    </xf>
    <xf numFmtId="0" fontId="20" fillId="35" borderId="10" xfId="0" applyFont="1" applyFill="1" applyBorder="1" applyAlignment="1" applyProtection="1">
      <alignment horizontal="left" vertical="top" indent="5"/>
    </xf>
    <xf numFmtId="0" fontId="20" fillId="34" borderId="10" xfId="0" applyFont="1" applyFill="1" applyBorder="1" applyAlignment="1" applyProtection="1">
      <alignment horizontal="left" vertical="top" indent="4"/>
    </xf>
    <xf numFmtId="0" fontId="20" fillId="35" borderId="10" xfId="0" applyFont="1" applyFill="1" applyBorder="1" applyAlignment="1" applyProtection="1">
      <alignment horizontal="right" vertical="top"/>
    </xf>
    <xf numFmtId="0" fontId="20" fillId="34" borderId="10" xfId="0" applyFont="1" applyFill="1" applyBorder="1" applyAlignment="1" applyProtection="1">
      <alignment horizontal="left" vertical="top" indent="6"/>
    </xf>
    <xf numFmtId="0" fontId="20" fillId="35" borderId="10" xfId="0" applyFont="1" applyFill="1" applyBorder="1" applyAlignment="1" applyProtection="1">
      <alignment horizontal="left" vertical="top" indent="6"/>
    </xf>
    <xf numFmtId="0" fontId="20" fillId="34" borderId="10" xfId="0" applyFont="1" applyFill="1" applyBorder="1" applyAlignment="1" applyProtection="1">
      <alignment horizontal="right" vertical="top"/>
    </xf>
    <xf numFmtId="0" fontId="22" fillId="34" borderId="10" xfId="0" applyFont="1" applyFill="1" applyBorder="1" applyAlignment="1" applyProtection="1">
      <alignment horizontal="left" vertical="top"/>
    </xf>
    <xf numFmtId="0" fontId="22" fillId="35" borderId="10" xfId="0" applyFont="1" applyFill="1" applyBorder="1" applyAlignment="1" applyProtection="1">
      <alignment horizontal="left" vertical="top" indent="1"/>
    </xf>
    <xf numFmtId="0" fontId="20" fillId="35" borderId="16" xfId="0" applyFont="1" applyFill="1" applyBorder="1" applyAlignment="1" applyProtection="1">
      <alignment horizontal="left" vertical="center" wrapText="1"/>
    </xf>
    <xf numFmtId="0" fontId="22" fillId="35" borderId="10" xfId="0" applyFont="1" applyFill="1" applyBorder="1" applyAlignment="1" applyProtection="1">
      <alignment horizontal="left" vertical="top"/>
    </xf>
    <xf numFmtId="0" fontId="19" fillId="35" borderId="17" xfId="0" applyFont="1" applyFill="1" applyBorder="1" applyAlignment="1" applyProtection="1">
      <alignment horizontal="left" vertical="center" wrapText="1"/>
    </xf>
    <xf numFmtId="0" fontId="19" fillId="35" borderId="19" xfId="0" applyFont="1" applyFill="1" applyBorder="1" applyAlignment="1" applyProtection="1">
      <alignment horizontal="left" vertical="center" wrapText="1"/>
    </xf>
    <xf numFmtId="0" fontId="19" fillId="35" borderId="18" xfId="0" applyFont="1" applyFill="1" applyBorder="1" applyAlignment="1" applyProtection="1">
      <alignment horizontal="left" vertical="center" wrapText="1"/>
    </xf>
    <xf numFmtId="49" fontId="21" fillId="0" borderId="0" xfId="0" applyNumberFormat="1" applyFont="1" applyFill="1" applyBorder="1" applyAlignment="1" applyProtection="1">
      <alignment horizontal="center" vertical="center" wrapText="1"/>
    </xf>
    <xf numFmtId="0" fontId="20" fillId="33" borderId="11" xfId="0" applyFont="1" applyFill="1" applyBorder="1" applyAlignment="1" applyProtection="1">
      <alignment horizontal="center" wrapText="1"/>
    </xf>
    <xf numFmtId="0" fontId="20" fillId="33" borderId="12" xfId="0" applyFont="1" applyFill="1" applyBorder="1" applyAlignment="1" applyProtection="1">
      <alignment horizontal="center" wrapText="1"/>
    </xf>
    <xf numFmtId="0" fontId="20" fillId="33" borderId="13" xfId="0" applyFont="1" applyFill="1" applyBorder="1" applyAlignment="1" applyProtection="1">
      <alignment horizontal="center" wrapText="1"/>
    </xf>
    <xf numFmtId="0" fontId="20" fillId="33" borderId="14" xfId="0" applyFont="1" applyFill="1" applyBorder="1" applyAlignment="1" applyProtection="1">
      <alignment horizontal="center" wrapText="1"/>
    </xf>
    <xf numFmtId="0" fontId="20" fillId="33" borderId="15" xfId="0" applyFont="1" applyFill="1" applyBorder="1" applyAlignment="1" applyProtection="1">
      <alignment horizontal="center" wrapText="1"/>
    </xf>
    <xf numFmtId="49" fontId="21" fillId="0" borderId="0" xfId="43" applyNumberFormat="1" applyFont="1" applyFill="1" applyBorder="1" applyAlignment="1" applyProtection="1">
      <alignment horizontal="center" vertical="center" wrapText="1"/>
    </xf>
    <xf numFmtId="0" fontId="20" fillId="0" borderId="10" xfId="43" applyFont="1" applyFill="1" applyBorder="1" applyAlignment="1" applyProtection="1">
      <alignment vertical="top"/>
    </xf>
    <xf numFmtId="0" fontId="20" fillId="33" borderId="11" xfId="43" applyFont="1" applyFill="1" applyBorder="1" applyAlignment="1" applyProtection="1">
      <alignment horizontal="center" wrapText="1"/>
    </xf>
    <xf numFmtId="0" fontId="20" fillId="33" borderId="10" xfId="43" applyFont="1" applyFill="1" applyBorder="1" applyAlignment="1" applyProtection="1">
      <alignment horizontal="center" wrapText="1"/>
    </xf>
    <xf numFmtId="0" fontId="20" fillId="33" borderId="12" xfId="43" applyFont="1" applyFill="1" applyBorder="1" applyAlignment="1" applyProtection="1">
      <alignment horizontal="center" wrapText="1"/>
    </xf>
    <xf numFmtId="0" fontId="22" fillId="34" borderId="10" xfId="43" applyFont="1" applyFill="1" applyBorder="1" applyAlignment="1" applyProtection="1">
      <alignment horizontal="left" vertical="top"/>
    </xf>
    <xf numFmtId="0" fontId="20" fillId="34" borderId="10" xfId="43" applyFont="1" applyFill="1" applyBorder="1" applyAlignment="1" applyProtection="1">
      <alignment horizontal="right" vertical="top"/>
    </xf>
    <xf numFmtId="0" fontId="22" fillId="35" borderId="10" xfId="43" applyFont="1" applyFill="1" applyBorder="1" applyAlignment="1" applyProtection="1">
      <alignment horizontal="left" vertical="top" indent="1"/>
    </xf>
    <xf numFmtId="164" fontId="20" fillId="35" borderId="10" xfId="43" applyNumberFormat="1" applyFont="1" applyFill="1" applyBorder="1" applyAlignment="1" applyProtection="1">
      <alignment horizontal="right" vertical="top"/>
    </xf>
    <xf numFmtId="0" fontId="22" fillId="34" borderId="10" xfId="43" applyFont="1" applyFill="1" applyBorder="1" applyAlignment="1" applyProtection="1">
      <alignment horizontal="left" vertical="top" indent="1"/>
    </xf>
    <xf numFmtId="164" fontId="20" fillId="34" borderId="10" xfId="43" applyNumberFormat="1" applyFont="1" applyFill="1" applyBorder="1" applyAlignment="1" applyProtection="1">
      <alignment horizontal="right" vertical="top"/>
    </xf>
    <xf numFmtId="0" fontId="22" fillId="35" borderId="10" xfId="43" applyFont="1" applyFill="1" applyBorder="1" applyAlignment="1" applyProtection="1">
      <alignment horizontal="left" vertical="top"/>
    </xf>
    <xf numFmtId="0" fontId="20" fillId="35" borderId="10" xfId="43" applyFont="1" applyFill="1" applyBorder="1" applyAlignment="1" applyProtection="1">
      <alignment horizontal="right" vertical="top"/>
    </xf>
    <xf numFmtId="0" fontId="20" fillId="35" borderId="16" xfId="43" applyFont="1" applyFill="1" applyBorder="1" applyAlignment="1" applyProtection="1">
      <alignment horizontal="left" vertical="center" wrapText="1"/>
    </xf>
    <xf numFmtId="164" fontId="20" fillId="0" borderId="10" xfId="43" applyNumberFormat="1" applyFont="1" applyFill="1" applyBorder="1" applyAlignment="1" applyProtection="1">
      <alignment vertical="top"/>
    </xf>
  </cellXfs>
  <cellStyles count="44">
    <cellStyle name="20 % - Accent1" xfId="20" builtinId="30" customBuiltin="1"/>
    <cellStyle name="20 % - Accent2" xfId="24" builtinId="34" customBuiltin="1"/>
    <cellStyle name="20 % - Accent3" xfId="28" builtinId="38" customBuiltin="1"/>
    <cellStyle name="20 % - Accent4" xfId="32" builtinId="42" customBuiltin="1"/>
    <cellStyle name="20 % - Accent5" xfId="36" builtinId="46" customBuiltin="1"/>
    <cellStyle name="20 % - Accent6" xfId="40" builtinId="50" customBuiltin="1"/>
    <cellStyle name="40 % - Accent1" xfId="21" builtinId="31" customBuiltin="1"/>
    <cellStyle name="40 % - Accent2" xfId="25" builtinId="35" customBuiltin="1"/>
    <cellStyle name="40 % - Accent3" xfId="29" builtinId="39" customBuiltin="1"/>
    <cellStyle name="40 % - Accent4" xfId="33" builtinId="43" customBuiltin="1"/>
    <cellStyle name="40 % - Accent5" xfId="37" builtinId="47" customBuiltin="1"/>
    <cellStyle name="40 % - Accent6" xfId="41" builtinId="51" customBuiltin="1"/>
    <cellStyle name="60 % - Accent1" xfId="22" builtinId="32" customBuiltin="1"/>
    <cellStyle name="60 % - Accent2" xfId="26" builtinId="36" customBuiltin="1"/>
    <cellStyle name="60 % - Accent3" xfId="30" builtinId="40" customBuiltin="1"/>
    <cellStyle name="60 % - Accent4" xfId="34" builtinId="44" customBuiltin="1"/>
    <cellStyle name="60 % - Accent5" xfId="38" builtinId="48" customBuiltin="1"/>
    <cellStyle name="60 %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Avertissement" xfId="15" builtinId="11" customBuiltin="1"/>
    <cellStyle name="Calcul" xfId="12" builtinId="22" customBuiltin="1"/>
    <cellStyle name="Cellule liée" xfId="13" builtinId="24" customBuiltin="1"/>
    <cellStyle name="Commentaire" xfId="16" builtinId="10" customBuiltin="1"/>
    <cellStyle name="Entrée" xfId="10" builtinId="20" customBuiltin="1"/>
    <cellStyle name="Insatisfaisant" xfId="8" builtinId="27" customBuiltin="1"/>
    <cellStyle name="Neutre" xfId="9" builtinId="28" customBuiltin="1"/>
    <cellStyle name="Normal" xfId="0" builtinId="0" customBuiltin="1"/>
    <cellStyle name="Normal 2" xfId="43" xr:uid="{927523D2-5751-A043-9158-6F67C7792FE6}"/>
    <cellStyle name="Pourcentage" xfId="1" builtinId="5" customBuiltin="1"/>
    <cellStyle name="Satisfaisant" xfId="7" builtinId="26" customBuiltin="1"/>
    <cellStyle name="Sortie" xfId="11" builtinId="21" customBuiltin="1"/>
    <cellStyle name="Texte explicatif" xfId="17" builtinId="53" customBuiltin="1"/>
    <cellStyle name="Titre" xfId="2" builtinId="15" customBuiltin="1"/>
    <cellStyle name="Titre 1" xfId="3" builtinId="16" customBuiltin="1"/>
    <cellStyle name="Titre 2" xfId="4" builtinId="17" customBuiltin="1"/>
    <cellStyle name="Titre 3" xfId="5" builtinId="18" customBuiltin="1"/>
    <cellStyle name="Titre 4" xfId="6" builtinId="19" customBuiltin="1"/>
    <cellStyle name="Total" xfId="18" builtinId="25" customBuiltin="1"/>
    <cellStyle name="Vérification" xfId="14" builtinId="23"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S45"/>
  <sheetViews>
    <sheetView showGridLines="0" topLeftCell="E1" zoomScale="125" workbookViewId="0">
      <selection activeCell="R6" sqref="R6"/>
    </sheetView>
  </sheetViews>
  <sheetFormatPr baseColWidth="10" defaultColWidth="8.33203125" defaultRowHeight="12" customHeight="1" x14ac:dyDescent="0.2"/>
  <cols>
    <col min="1" max="1" width="50" style="1" bestFit="1" customWidth="1"/>
    <col min="2" max="3" width="16.83203125" style="1" bestFit="1" customWidth="1"/>
    <col min="4" max="4" width="8.5" style="1" bestFit="1" customWidth="1"/>
    <col min="5" max="6" width="9.33203125" style="1" bestFit="1" customWidth="1"/>
    <col min="7" max="7" width="8.5" style="1" bestFit="1" customWidth="1"/>
    <col min="8" max="9" width="8.33203125" style="1"/>
    <col min="10" max="10" width="49.5" style="1" customWidth="1"/>
    <col min="11" max="13" width="8.5" style="1" bestFit="1" customWidth="1"/>
    <col min="14" max="15" width="9.33203125" style="1" bestFit="1" customWidth="1"/>
    <col min="16" max="16" width="8.5" style="1" bestFit="1" customWidth="1"/>
    <col min="17" max="17" width="8.33203125" style="1"/>
    <col min="18" max="19" width="8.5" style="1" bestFit="1" customWidth="1"/>
    <col min="20" max="16384" width="8.33203125" style="1"/>
  </cols>
  <sheetData>
    <row r="1" spans="1:19" ht="50" customHeight="1" x14ac:dyDescent="0.2">
      <c r="A1" s="27" t="s">
        <v>0</v>
      </c>
      <c r="B1" s="27"/>
      <c r="C1" s="27"/>
      <c r="D1" s="27"/>
      <c r="E1" s="27"/>
      <c r="F1" s="27"/>
      <c r="G1" s="27"/>
      <c r="J1" s="27" t="s">
        <v>1</v>
      </c>
      <c r="K1" s="27"/>
      <c r="L1" s="27"/>
      <c r="M1" s="27"/>
      <c r="N1" s="27"/>
      <c r="O1" s="27"/>
      <c r="P1" s="27"/>
    </row>
    <row r="2" spans="1:19" ht="12" customHeight="1" x14ac:dyDescent="0.15">
      <c r="A2" s="28" t="s">
        <v>2</v>
      </c>
      <c r="B2" s="30" t="s">
        <v>3</v>
      </c>
      <c r="C2" s="31"/>
      <c r="D2" s="32"/>
      <c r="E2" s="30" t="s">
        <v>4</v>
      </c>
      <c r="F2" s="31"/>
      <c r="G2" s="32"/>
      <c r="J2" s="28" t="s">
        <v>2</v>
      </c>
      <c r="K2" s="30" t="s">
        <v>3</v>
      </c>
      <c r="L2" s="31"/>
      <c r="M2" s="32"/>
      <c r="N2" s="30" t="s">
        <v>4</v>
      </c>
      <c r="O2" s="31"/>
      <c r="P2" s="32"/>
      <c r="R2" s="1" t="s">
        <v>5</v>
      </c>
      <c r="S2" s="1">
        <v>16277187.078</v>
      </c>
    </row>
    <row r="3" spans="1:19" ht="34" customHeight="1" x14ac:dyDescent="0.15">
      <c r="A3" s="29"/>
      <c r="B3" s="2" t="s">
        <v>6</v>
      </c>
      <c r="C3" s="2" t="s">
        <v>7</v>
      </c>
      <c r="D3" s="2" t="s">
        <v>8</v>
      </c>
      <c r="E3" s="2" t="s">
        <v>6</v>
      </c>
      <c r="F3" s="2" t="s">
        <v>7</v>
      </c>
      <c r="G3" s="2" t="s">
        <v>8</v>
      </c>
      <c r="J3" s="29"/>
      <c r="K3" s="2" t="s">
        <v>6</v>
      </c>
      <c r="L3" s="2" t="s">
        <v>7</v>
      </c>
      <c r="M3" s="2" t="s">
        <v>8</v>
      </c>
      <c r="N3" s="2" t="s">
        <v>6</v>
      </c>
      <c r="O3" s="2" t="s">
        <v>7</v>
      </c>
      <c r="P3" s="2" t="s">
        <v>8</v>
      </c>
    </row>
    <row r="4" spans="1:19" ht="13" customHeight="1" x14ac:dyDescent="0.2">
      <c r="A4" s="3" t="s">
        <v>9</v>
      </c>
      <c r="B4" s="4">
        <v>304365.68300000002</v>
      </c>
      <c r="C4" s="4">
        <v>510826.29399999999</v>
      </c>
      <c r="D4" s="4">
        <v>61.4</v>
      </c>
      <c r="E4" s="4">
        <v>3514529.531</v>
      </c>
      <c r="F4" s="4">
        <v>3800415.6170000001</v>
      </c>
      <c r="G4" s="4">
        <v>4.2</v>
      </c>
      <c r="J4" s="3" t="s">
        <v>9</v>
      </c>
      <c r="K4" s="4">
        <v>498997.56099999999</v>
      </c>
      <c r="L4" s="4">
        <v>607273.34539999999</v>
      </c>
      <c r="M4" s="4">
        <v>17</v>
      </c>
      <c r="N4" s="4">
        <v>3920304.9528000001</v>
      </c>
      <c r="O4" s="4">
        <v>4178321.9106999999</v>
      </c>
      <c r="P4" s="4">
        <v>2.7</v>
      </c>
      <c r="R4" s="5">
        <f>F4-O4</f>
        <v>-377906.29369999981</v>
      </c>
      <c r="S4" s="6">
        <f>R4/S2</f>
        <v>-2.3216928815100506E-2</v>
      </c>
    </row>
    <row r="5" spans="1:19" ht="12" customHeight="1" x14ac:dyDescent="0.2">
      <c r="A5" s="7" t="s">
        <v>10</v>
      </c>
      <c r="B5" s="8">
        <v>123467.318</v>
      </c>
      <c r="C5" s="8">
        <v>168624.19209999999</v>
      </c>
      <c r="D5" s="8">
        <v>31.4</v>
      </c>
      <c r="E5" s="8">
        <v>1386406.3975899999</v>
      </c>
      <c r="F5" s="8">
        <v>1344487.5724899999</v>
      </c>
      <c r="G5" s="8">
        <v>-6.6</v>
      </c>
      <c r="J5" s="7" t="s">
        <v>11</v>
      </c>
      <c r="K5" s="8">
        <v>358766.1727</v>
      </c>
      <c r="L5" s="8">
        <v>463133.15169999999</v>
      </c>
      <c r="M5" s="8">
        <v>24.2</v>
      </c>
      <c r="N5" s="8">
        <v>3102197.7472000001</v>
      </c>
      <c r="O5" s="8">
        <v>3316608.6795999999</v>
      </c>
      <c r="P5" s="8">
        <v>3</v>
      </c>
    </row>
    <row r="6" spans="1:19" ht="12" customHeight="1" x14ac:dyDescent="0.2">
      <c r="A6" s="9" t="s">
        <v>12</v>
      </c>
      <c r="B6" s="4">
        <v>71133.450039999996</v>
      </c>
      <c r="C6" s="4">
        <v>69408.084109999996</v>
      </c>
      <c r="D6" s="4">
        <v>-6.2</v>
      </c>
      <c r="E6" s="4">
        <v>923285.11078999995</v>
      </c>
      <c r="F6" s="4">
        <v>861551.63951999997</v>
      </c>
      <c r="G6" s="4">
        <v>-10.1</v>
      </c>
      <c r="J6" s="9" t="s">
        <v>13</v>
      </c>
      <c r="K6" s="4">
        <v>268240.86420000001</v>
      </c>
      <c r="L6" s="4">
        <v>260478.62580000001</v>
      </c>
      <c r="M6" s="4">
        <v>-6.6</v>
      </c>
      <c r="N6" s="4">
        <v>2360694.5162</v>
      </c>
      <c r="O6" s="4">
        <v>2440771.5427999999</v>
      </c>
      <c r="P6" s="4">
        <v>-0.4</v>
      </c>
    </row>
    <row r="7" spans="1:19" ht="12" customHeight="1" x14ac:dyDescent="0.2">
      <c r="A7" s="10" t="s">
        <v>14</v>
      </c>
      <c r="B7" s="8">
        <v>52333.868000000002</v>
      </c>
      <c r="C7" s="8">
        <v>99216.107999999993</v>
      </c>
      <c r="D7" s="8">
        <v>82.3</v>
      </c>
      <c r="E7" s="8">
        <v>463121.28700000001</v>
      </c>
      <c r="F7" s="8">
        <v>482935.93300000002</v>
      </c>
      <c r="G7" s="8">
        <v>0.5</v>
      </c>
      <c r="J7" s="11" t="s">
        <v>15</v>
      </c>
      <c r="K7" s="8">
        <v>103894.23179999999</v>
      </c>
      <c r="L7" s="8">
        <v>103274.72470000001</v>
      </c>
      <c r="M7" s="8">
        <v>-4.4000000000000004</v>
      </c>
      <c r="N7" s="8">
        <v>926101.90676000004</v>
      </c>
      <c r="O7" s="8">
        <v>963100.26459000004</v>
      </c>
      <c r="P7" s="8">
        <v>0.2</v>
      </c>
    </row>
    <row r="8" spans="1:19" ht="12" customHeight="1" x14ac:dyDescent="0.2">
      <c r="A8" s="12" t="s">
        <v>16</v>
      </c>
      <c r="B8" s="4">
        <v>180898.3646</v>
      </c>
      <c r="C8" s="4">
        <v>342202.10200000001</v>
      </c>
      <c r="D8" s="4">
        <v>81.900000000000006</v>
      </c>
      <c r="E8" s="4">
        <v>2128123.1351999999</v>
      </c>
      <c r="F8" s="4">
        <v>2455928.0444</v>
      </c>
      <c r="G8" s="4">
        <v>11.2</v>
      </c>
      <c r="J8" s="13" t="s">
        <v>17</v>
      </c>
      <c r="K8" s="4">
        <v>62958.333749999998</v>
      </c>
      <c r="L8" s="4">
        <v>67164.724730000002</v>
      </c>
      <c r="M8" s="4">
        <v>2.6</v>
      </c>
      <c r="N8" s="4">
        <v>528788.75824</v>
      </c>
      <c r="O8" s="4">
        <v>549445.79879999999</v>
      </c>
      <c r="P8" s="4">
        <v>0.1</v>
      </c>
    </row>
    <row r="9" spans="1:19" ht="12" customHeight="1" x14ac:dyDescent="0.2">
      <c r="A9" s="10" t="s">
        <v>12</v>
      </c>
      <c r="B9" s="8">
        <v>126463.3416</v>
      </c>
      <c r="C9" s="8">
        <v>257610.85500000001</v>
      </c>
      <c r="D9" s="8">
        <v>95.9</v>
      </c>
      <c r="E9" s="8">
        <v>1529248.6401800001</v>
      </c>
      <c r="F9" s="8">
        <v>1842023.5674000001</v>
      </c>
      <c r="G9" s="8">
        <v>16</v>
      </c>
      <c r="J9" s="14" t="s">
        <v>18</v>
      </c>
      <c r="K9" s="8">
        <v>40935.898000000001</v>
      </c>
      <c r="L9" s="8">
        <v>36109.999989999997</v>
      </c>
      <c r="M9" s="8">
        <v>-15.2</v>
      </c>
      <c r="N9" s="8">
        <v>397313.14846</v>
      </c>
      <c r="O9" s="8">
        <v>413654.46580000001</v>
      </c>
      <c r="P9" s="8">
        <v>0.3</v>
      </c>
    </row>
    <row r="10" spans="1:19" ht="12" customHeight="1" x14ac:dyDescent="0.2">
      <c r="A10" s="15" t="s">
        <v>19</v>
      </c>
      <c r="B10" s="4">
        <v>115967.39569999999</v>
      </c>
      <c r="C10" s="4">
        <v>147850.1556</v>
      </c>
      <c r="D10" s="4">
        <v>22.6</v>
      </c>
      <c r="E10" s="4">
        <v>1314439.59027</v>
      </c>
      <c r="F10" s="4">
        <v>1561751.5615000001</v>
      </c>
      <c r="G10" s="4">
        <v>14.5</v>
      </c>
      <c r="J10" s="15" t="s">
        <v>20</v>
      </c>
      <c r="K10" s="4">
        <v>103198.7801</v>
      </c>
      <c r="L10" s="4">
        <v>79823.69915</v>
      </c>
      <c r="M10" s="4">
        <v>-25.6</v>
      </c>
      <c r="N10" s="4">
        <v>916114.77859999996</v>
      </c>
      <c r="O10" s="4">
        <v>915593.98178999999</v>
      </c>
      <c r="P10" s="4">
        <v>-3.7</v>
      </c>
    </row>
    <row r="11" spans="1:19" ht="12" customHeight="1" x14ac:dyDescent="0.2">
      <c r="A11" s="14" t="s">
        <v>21</v>
      </c>
      <c r="B11" s="8">
        <v>73301.527990000002</v>
      </c>
      <c r="C11" s="8">
        <v>89428.886339999997</v>
      </c>
      <c r="D11" s="8">
        <v>17.3</v>
      </c>
      <c r="E11" s="8">
        <v>803896.66839000001</v>
      </c>
      <c r="F11" s="8">
        <v>946740.33184999996</v>
      </c>
      <c r="G11" s="8">
        <v>13.5</v>
      </c>
      <c r="J11" s="14" t="s">
        <v>22</v>
      </c>
      <c r="K11" s="8">
        <v>33597.653100000003</v>
      </c>
      <c r="L11" s="8">
        <v>30130.930130000001</v>
      </c>
      <c r="M11" s="8">
        <v>-13.7</v>
      </c>
      <c r="N11" s="8">
        <v>266274.40922999999</v>
      </c>
      <c r="O11" s="8">
        <v>270449.13831000001</v>
      </c>
      <c r="P11" s="8">
        <v>-2.2000000000000002</v>
      </c>
    </row>
    <row r="12" spans="1:19" ht="12" customHeight="1" x14ac:dyDescent="0.2">
      <c r="A12" s="13" t="s">
        <v>23</v>
      </c>
      <c r="B12" s="4">
        <v>48598.369039999998</v>
      </c>
      <c r="C12" s="4">
        <v>49996.810360000003</v>
      </c>
      <c r="D12" s="4">
        <v>-1.1000000000000001</v>
      </c>
      <c r="E12" s="4">
        <v>579987.46903000004</v>
      </c>
      <c r="F12" s="4">
        <v>556793.89122999995</v>
      </c>
      <c r="G12" s="4">
        <v>-7.5</v>
      </c>
      <c r="J12" s="13" t="s">
        <v>24</v>
      </c>
      <c r="K12" s="4">
        <v>54879.817300000002</v>
      </c>
      <c r="L12" s="4">
        <v>52129.963580000003</v>
      </c>
      <c r="M12" s="4">
        <v>-8.6</v>
      </c>
      <c r="N12" s="4">
        <v>580642.45068999997</v>
      </c>
      <c r="O12" s="4">
        <v>612045.20704999997</v>
      </c>
      <c r="P12" s="4">
        <v>1.5</v>
      </c>
    </row>
    <row r="13" spans="1:19" ht="12" customHeight="1" x14ac:dyDescent="0.2">
      <c r="A13" s="14" t="s">
        <v>25</v>
      </c>
      <c r="B13" s="8">
        <v>-9466.7782399999996</v>
      </c>
      <c r="C13" s="8">
        <v>3644.2438630000001</v>
      </c>
      <c r="D13" s="16" t="s">
        <v>26</v>
      </c>
      <c r="E13" s="8">
        <v>-130131.406653</v>
      </c>
      <c r="F13" s="8">
        <v>-7423.7708380000004</v>
      </c>
      <c r="G13" s="8">
        <v>-94.5</v>
      </c>
      <c r="J13" s="14" t="s">
        <v>27</v>
      </c>
      <c r="K13" s="8">
        <v>14721.309660000001</v>
      </c>
      <c r="L13" s="8">
        <v>-2437.194551</v>
      </c>
      <c r="M13" s="16" t="s">
        <v>26</v>
      </c>
      <c r="N13" s="8">
        <v>69197.9185899</v>
      </c>
      <c r="O13" s="8">
        <v>33099.636447999997</v>
      </c>
      <c r="P13" s="8">
        <v>-53.9</v>
      </c>
    </row>
    <row r="14" spans="1:19" ht="12" customHeight="1" x14ac:dyDescent="0.2">
      <c r="A14" s="17" t="s">
        <v>28</v>
      </c>
      <c r="B14" s="4">
        <v>-15137.707899999999</v>
      </c>
      <c r="C14" s="4">
        <v>-2711.47703</v>
      </c>
      <c r="D14" s="4">
        <v>-82.8</v>
      </c>
      <c r="E14" s="4">
        <v>-203084.307914</v>
      </c>
      <c r="F14" s="4">
        <v>-85996.201797000002</v>
      </c>
      <c r="G14" s="4">
        <v>-59.2</v>
      </c>
      <c r="J14" s="15" t="s">
        <v>29</v>
      </c>
      <c r="K14" s="4">
        <v>61147.85241</v>
      </c>
      <c r="L14" s="4">
        <v>77380.201910000003</v>
      </c>
      <c r="M14" s="4">
        <v>21.7</v>
      </c>
      <c r="N14" s="4">
        <v>518477.83103</v>
      </c>
      <c r="O14" s="4">
        <v>562077.29648999998</v>
      </c>
      <c r="P14" s="4">
        <v>4.4000000000000004</v>
      </c>
    </row>
    <row r="15" spans="1:19" ht="12" customHeight="1" x14ac:dyDescent="0.2">
      <c r="A15" s="18" t="s">
        <v>30</v>
      </c>
      <c r="B15" s="8">
        <v>5670.9296560000003</v>
      </c>
      <c r="C15" s="8">
        <v>6355.7208929999997</v>
      </c>
      <c r="D15" s="8">
        <v>7.8</v>
      </c>
      <c r="E15" s="8">
        <v>72952.901245000001</v>
      </c>
      <c r="F15" s="8">
        <v>78572.430968000001</v>
      </c>
      <c r="G15" s="8">
        <v>3.8</v>
      </c>
      <c r="J15" s="10" t="s">
        <v>31</v>
      </c>
      <c r="K15" s="8">
        <v>90525.308499999999</v>
      </c>
      <c r="L15" s="8">
        <v>202654.52590000001</v>
      </c>
      <c r="M15" s="8">
        <v>115.3</v>
      </c>
      <c r="N15" s="8">
        <v>741503.23106999998</v>
      </c>
      <c r="O15" s="8">
        <v>875837.13656000001</v>
      </c>
      <c r="P15" s="8">
        <v>13.8</v>
      </c>
    </row>
    <row r="16" spans="1:19" ht="12" customHeight="1" x14ac:dyDescent="0.2">
      <c r="A16" s="13" t="s">
        <v>32</v>
      </c>
      <c r="B16" s="4">
        <v>1399.058088</v>
      </c>
      <c r="C16" s="4">
        <v>2430.5718780000002</v>
      </c>
      <c r="D16" s="4">
        <v>67.099999999999994</v>
      </c>
      <c r="E16" s="4">
        <v>27906.058088000002</v>
      </c>
      <c r="F16" s="4">
        <v>29259.482362999999</v>
      </c>
      <c r="G16" s="4">
        <v>1</v>
      </c>
      <c r="J16" s="15" t="s">
        <v>33</v>
      </c>
      <c r="K16" s="4">
        <v>88273.04926</v>
      </c>
      <c r="L16" s="4">
        <v>98229.782600000006</v>
      </c>
      <c r="M16" s="4">
        <v>7</v>
      </c>
      <c r="N16" s="4">
        <v>680975.61123000004</v>
      </c>
      <c r="O16" s="4">
        <v>735500.46852999995</v>
      </c>
      <c r="P16" s="4">
        <v>4</v>
      </c>
    </row>
    <row r="17" spans="1:16" ht="12" customHeight="1" x14ac:dyDescent="0.2">
      <c r="A17" s="14" t="s">
        <v>34</v>
      </c>
      <c r="B17" s="16" t="s">
        <v>35</v>
      </c>
      <c r="C17" s="16" t="s">
        <v>35</v>
      </c>
      <c r="D17" s="16" t="s">
        <v>36</v>
      </c>
      <c r="E17" s="16" t="s">
        <v>35</v>
      </c>
      <c r="F17" s="16" t="s">
        <v>35</v>
      </c>
      <c r="G17" s="16" t="s">
        <v>36</v>
      </c>
      <c r="J17" s="14" t="s">
        <v>37</v>
      </c>
      <c r="K17" s="8">
        <v>77968.406570000006</v>
      </c>
      <c r="L17" s="8">
        <v>73701.781910000005</v>
      </c>
      <c r="M17" s="8">
        <v>-9.1</v>
      </c>
      <c r="N17" s="8">
        <v>459012.45402</v>
      </c>
      <c r="O17" s="8">
        <v>458369.26854999998</v>
      </c>
      <c r="P17" s="8">
        <v>-3.8</v>
      </c>
    </row>
    <row r="18" spans="1:16" ht="12" customHeight="1" x14ac:dyDescent="0.2">
      <c r="A18" s="13" t="s">
        <v>38</v>
      </c>
      <c r="B18" s="4">
        <v>2135.2190000000001</v>
      </c>
      <c r="C18" s="4">
        <v>2349.643</v>
      </c>
      <c r="D18" s="4">
        <v>5.8</v>
      </c>
      <c r="E18" s="4">
        <v>32780.800999999999</v>
      </c>
      <c r="F18" s="4">
        <v>36381.625999999997</v>
      </c>
      <c r="G18" s="4">
        <v>6.9</v>
      </c>
      <c r="J18" s="13" t="s">
        <v>39</v>
      </c>
      <c r="K18" s="4">
        <v>10304.642690000001</v>
      </c>
      <c r="L18" s="4">
        <v>24528.000690000001</v>
      </c>
      <c r="M18" s="4">
        <v>128.9</v>
      </c>
      <c r="N18" s="4">
        <v>221963.157221</v>
      </c>
      <c r="O18" s="4">
        <v>277131.2</v>
      </c>
      <c r="P18" s="4">
        <v>20.3</v>
      </c>
    </row>
    <row r="19" spans="1:16" ht="12" customHeight="1" x14ac:dyDescent="0.2">
      <c r="A19" s="11" t="s">
        <v>40</v>
      </c>
      <c r="B19" s="8">
        <v>10495.94587</v>
      </c>
      <c r="C19" s="8">
        <v>109760.6994</v>
      </c>
      <c r="D19" s="16" t="s">
        <v>41</v>
      </c>
      <c r="E19" s="8">
        <v>214809.049876</v>
      </c>
      <c r="F19" s="8">
        <v>280272.00602500001</v>
      </c>
      <c r="G19" s="8">
        <v>25.7</v>
      </c>
      <c r="J19" s="11" t="s">
        <v>42</v>
      </c>
      <c r="K19" s="8">
        <v>2252.2592410000002</v>
      </c>
      <c r="L19" s="8">
        <v>104424.7433</v>
      </c>
      <c r="M19" s="16" t="s">
        <v>41</v>
      </c>
      <c r="N19" s="8">
        <v>60527.619829349998</v>
      </c>
      <c r="O19" s="8">
        <v>140336.66802330001</v>
      </c>
      <c r="P19" s="8">
        <v>123.4</v>
      </c>
    </row>
    <row r="20" spans="1:16" ht="12" customHeight="1" x14ac:dyDescent="0.2">
      <c r="A20" s="13" t="s">
        <v>43</v>
      </c>
      <c r="B20" s="4">
        <v>1589.4</v>
      </c>
      <c r="C20" s="4">
        <v>1278.085016</v>
      </c>
      <c r="D20" s="4">
        <v>-22.7</v>
      </c>
      <c r="E20" s="4">
        <v>42574.777306999997</v>
      </c>
      <c r="F20" s="4">
        <v>44107.322465999998</v>
      </c>
      <c r="G20" s="4">
        <v>-0.2</v>
      </c>
      <c r="J20" s="13" t="s">
        <v>37</v>
      </c>
      <c r="K20" s="4">
        <v>1772.9568320000001</v>
      </c>
      <c r="L20" s="4">
        <v>98711.028000000006</v>
      </c>
      <c r="M20" s="19" t="s">
        <v>41</v>
      </c>
      <c r="N20" s="4">
        <v>33731.058653</v>
      </c>
      <c r="O20" s="4">
        <v>122094.139344</v>
      </c>
      <c r="P20" s="4">
        <v>248.7</v>
      </c>
    </row>
    <row r="21" spans="1:16" ht="12" customHeight="1" x14ac:dyDescent="0.2">
      <c r="A21" s="14" t="s">
        <v>44</v>
      </c>
      <c r="B21" s="8">
        <v>8429.2804099999994</v>
      </c>
      <c r="C21" s="8">
        <v>108120.467</v>
      </c>
      <c r="D21" s="16" t="s">
        <v>41</v>
      </c>
      <c r="E21" s="8">
        <v>166002.280417</v>
      </c>
      <c r="F21" s="8">
        <v>228076.089228</v>
      </c>
      <c r="G21" s="8">
        <v>32.4</v>
      </c>
      <c r="J21" s="14" t="s">
        <v>39</v>
      </c>
      <c r="K21" s="8">
        <v>479.30240889999999</v>
      </c>
      <c r="L21" s="8">
        <v>5713.715279</v>
      </c>
      <c r="M21" s="16" t="s">
        <v>41</v>
      </c>
      <c r="N21" s="8">
        <v>26796.56117529</v>
      </c>
      <c r="O21" s="8">
        <v>18242.528656319999</v>
      </c>
      <c r="P21" s="8">
        <v>-34.4</v>
      </c>
    </row>
    <row r="22" spans="1:16" ht="12" customHeight="1" x14ac:dyDescent="0.2">
      <c r="A22" s="13" t="s">
        <v>45</v>
      </c>
      <c r="B22" s="4">
        <v>477.26558999999997</v>
      </c>
      <c r="C22" s="4">
        <v>362.14700190000002</v>
      </c>
      <c r="D22" s="4">
        <v>-27</v>
      </c>
      <c r="E22" s="4">
        <v>6231.99359</v>
      </c>
      <c r="F22" s="4">
        <v>8088.593785</v>
      </c>
      <c r="G22" s="4">
        <v>25</v>
      </c>
      <c r="J22" s="12" t="s">
        <v>46</v>
      </c>
      <c r="K22" s="4">
        <v>140231.38829999999</v>
      </c>
      <c r="L22" s="4">
        <v>144140.1937</v>
      </c>
      <c r="M22" s="4">
        <v>-1.1000000000000001</v>
      </c>
      <c r="N22" s="4">
        <v>818107.20538000006</v>
      </c>
      <c r="O22" s="4">
        <v>861713.23132999998</v>
      </c>
      <c r="P22" s="4">
        <v>1.5</v>
      </c>
    </row>
    <row r="23" spans="1:16" ht="12" customHeight="1" x14ac:dyDescent="0.2">
      <c r="A23" s="10" t="s">
        <v>47</v>
      </c>
      <c r="B23" s="8">
        <v>29492.962</v>
      </c>
      <c r="C23" s="8">
        <v>32159.131000000001</v>
      </c>
      <c r="D23" s="8">
        <v>4.9000000000000004</v>
      </c>
      <c r="E23" s="8">
        <v>274299.71000000002</v>
      </c>
      <c r="F23" s="8">
        <v>279760.68900000001</v>
      </c>
      <c r="G23" s="8">
        <v>-1.7</v>
      </c>
      <c r="J23" s="10" t="s">
        <v>48</v>
      </c>
      <c r="K23" s="8">
        <v>99337.714510000005</v>
      </c>
      <c r="L23" s="8">
        <v>106089.8291</v>
      </c>
      <c r="M23" s="8">
        <v>2.7</v>
      </c>
      <c r="N23" s="8">
        <v>305118.54499800003</v>
      </c>
      <c r="O23" s="8">
        <v>314551.40040899999</v>
      </c>
      <c r="P23" s="8">
        <v>-0.7</v>
      </c>
    </row>
    <row r="24" spans="1:16" ht="12" customHeight="1" x14ac:dyDescent="0.2">
      <c r="A24" s="15" t="s">
        <v>49</v>
      </c>
      <c r="B24" s="4">
        <v>26393.543959999999</v>
      </c>
      <c r="C24" s="4">
        <v>28637.793249999999</v>
      </c>
      <c r="D24" s="4">
        <v>4.4000000000000004</v>
      </c>
      <c r="E24" s="4">
        <v>235095.12603000001</v>
      </c>
      <c r="F24" s="4">
        <v>239142.17564999999</v>
      </c>
      <c r="G24" s="4">
        <v>-2</v>
      </c>
      <c r="J24" s="9" t="s">
        <v>50</v>
      </c>
      <c r="K24" s="4">
        <v>40050.547760000001</v>
      </c>
      <c r="L24" s="4">
        <v>43460.189440000002</v>
      </c>
      <c r="M24" s="4">
        <v>4.4000000000000004</v>
      </c>
      <c r="N24" s="4">
        <v>494264.53239000001</v>
      </c>
      <c r="O24" s="4">
        <v>532455.48057999997</v>
      </c>
      <c r="P24" s="4">
        <v>3.8</v>
      </c>
    </row>
    <row r="25" spans="1:16" ht="12" customHeight="1" x14ac:dyDescent="0.2">
      <c r="A25" s="11" t="s">
        <v>51</v>
      </c>
      <c r="B25" s="8">
        <v>3099.4175679999998</v>
      </c>
      <c r="C25" s="8">
        <v>3521.3378259999999</v>
      </c>
      <c r="D25" s="8">
        <v>9.3000000000000007</v>
      </c>
      <c r="E25" s="8">
        <v>39204.584035</v>
      </c>
      <c r="F25" s="8">
        <v>40618.512776000003</v>
      </c>
      <c r="G25" s="8">
        <v>-0.2</v>
      </c>
      <c r="J25" s="10" t="s">
        <v>52</v>
      </c>
      <c r="K25" s="8">
        <v>843.12603290000004</v>
      </c>
      <c r="L25" s="8">
        <v>-5409.8248329999997</v>
      </c>
      <c r="M25" s="16" t="s">
        <v>26</v>
      </c>
      <c r="N25" s="8">
        <v>18724.128029</v>
      </c>
      <c r="O25" s="8">
        <v>14706.350409000001</v>
      </c>
      <c r="P25" s="8">
        <v>-24.3</v>
      </c>
    </row>
    <row r="26" spans="1:16" ht="13" customHeight="1" x14ac:dyDescent="0.2">
      <c r="A26" s="9" t="s">
        <v>53</v>
      </c>
      <c r="B26" s="4">
        <v>24942.061710000002</v>
      </c>
      <c r="C26" s="4">
        <v>52432.115469999997</v>
      </c>
      <c r="D26" s="4">
        <v>102.2</v>
      </c>
      <c r="E26" s="4">
        <v>324574.78379000002</v>
      </c>
      <c r="F26" s="4">
        <v>334143.78730999999</v>
      </c>
      <c r="G26" s="4">
        <v>-0.8</v>
      </c>
      <c r="J26" s="20" t="s">
        <v>54</v>
      </c>
      <c r="K26" s="19" t="s">
        <v>35</v>
      </c>
      <c r="L26" s="19" t="s">
        <v>35</v>
      </c>
      <c r="M26" s="19" t="s">
        <v>36</v>
      </c>
      <c r="N26" s="19" t="s">
        <v>35</v>
      </c>
      <c r="O26" s="19" t="s">
        <v>35</v>
      </c>
      <c r="P26" s="19" t="s">
        <v>36</v>
      </c>
    </row>
    <row r="27" spans="1:16" ht="12" customHeight="1" x14ac:dyDescent="0.2">
      <c r="A27" s="10" t="s">
        <v>45</v>
      </c>
      <c r="B27" s="8">
        <v>0</v>
      </c>
      <c r="C27" s="8">
        <v>0</v>
      </c>
      <c r="D27" s="16" t="s">
        <v>26</v>
      </c>
      <c r="E27" s="8">
        <v>0</v>
      </c>
      <c r="F27" s="8">
        <v>0</v>
      </c>
      <c r="G27" s="16" t="s">
        <v>26</v>
      </c>
      <c r="J27" s="7" t="s">
        <v>55</v>
      </c>
      <c r="K27" s="8">
        <v>408582.69780000002</v>
      </c>
      <c r="L27" s="8">
        <v>404681.77710000001</v>
      </c>
      <c r="M27" s="8">
        <v>-4.7</v>
      </c>
      <c r="N27" s="8">
        <v>3173670.0792</v>
      </c>
      <c r="O27" s="8">
        <v>3297930.5669999998</v>
      </c>
      <c r="P27" s="8">
        <v>0.1</v>
      </c>
    </row>
    <row r="28" spans="1:16" ht="13" customHeight="1" x14ac:dyDescent="0.2">
      <c r="A28" s="20" t="s">
        <v>56</v>
      </c>
      <c r="B28" s="19" t="s">
        <v>35</v>
      </c>
      <c r="C28" s="19" t="s">
        <v>35</v>
      </c>
      <c r="D28" s="19" t="s">
        <v>36</v>
      </c>
      <c r="E28" s="19" t="s">
        <v>35</v>
      </c>
      <c r="F28" s="19" t="s">
        <v>35</v>
      </c>
      <c r="G28" s="19" t="s">
        <v>36</v>
      </c>
      <c r="J28" s="12" t="s">
        <v>57</v>
      </c>
      <c r="K28" s="4">
        <v>90414.863219999999</v>
      </c>
      <c r="L28" s="4">
        <v>202591.56830000001</v>
      </c>
      <c r="M28" s="4">
        <v>115.5</v>
      </c>
      <c r="N28" s="4">
        <v>746634.87361999997</v>
      </c>
      <c r="O28" s="4">
        <v>880391.34400000004</v>
      </c>
      <c r="P28" s="4">
        <v>13.6</v>
      </c>
    </row>
    <row r="29" spans="1:16" ht="13" customHeight="1" x14ac:dyDescent="0.2">
      <c r="A29" s="21" t="s">
        <v>19</v>
      </c>
      <c r="B29" s="8">
        <v>115967.39599999999</v>
      </c>
      <c r="C29" s="8">
        <v>147850.15599999999</v>
      </c>
      <c r="D29" s="8">
        <v>22.6</v>
      </c>
      <c r="E29" s="8">
        <v>1314439.5919999999</v>
      </c>
      <c r="F29" s="8">
        <v>1561751.5619999999</v>
      </c>
      <c r="G29" s="8">
        <v>14.5</v>
      </c>
      <c r="J29" s="7" t="s">
        <v>58</v>
      </c>
      <c r="K29" s="8">
        <v>32289.83783</v>
      </c>
      <c r="L29" s="8">
        <v>24775.344209999999</v>
      </c>
      <c r="M29" s="8">
        <v>-26.2</v>
      </c>
      <c r="N29" s="8">
        <v>429497.71169999999</v>
      </c>
      <c r="O29" s="8">
        <v>467926.43676999997</v>
      </c>
      <c r="P29" s="8">
        <v>5</v>
      </c>
    </row>
    <row r="30" spans="1:16" ht="13" customHeight="1" x14ac:dyDescent="0.2">
      <c r="A30" s="3" t="s">
        <v>59</v>
      </c>
      <c r="B30" s="4">
        <v>188398.288</v>
      </c>
      <c r="C30" s="4">
        <v>362976.13699999999</v>
      </c>
      <c r="D30" s="4">
        <v>85.3</v>
      </c>
      <c r="E30" s="4">
        <v>2200089.94</v>
      </c>
      <c r="F30" s="4">
        <v>2238664.054</v>
      </c>
      <c r="G30" s="4">
        <v>-2</v>
      </c>
      <c r="J30" s="22"/>
    </row>
    <row r="31" spans="1:16" ht="12" customHeight="1" x14ac:dyDescent="0.2">
      <c r="A31" s="22"/>
      <c r="J31" s="24" t="s">
        <v>60</v>
      </c>
      <c r="K31" s="25"/>
      <c r="L31" s="25"/>
      <c r="M31" s="25"/>
      <c r="N31" s="25"/>
      <c r="O31" s="25"/>
      <c r="P31" s="26"/>
    </row>
    <row r="32" spans="1:16" ht="40" customHeight="1" x14ac:dyDescent="0.2">
      <c r="A32" s="24" t="s">
        <v>61</v>
      </c>
      <c r="B32" s="25"/>
      <c r="C32" s="25"/>
      <c r="D32" s="25"/>
      <c r="E32" s="25"/>
      <c r="F32" s="25"/>
      <c r="G32" s="26"/>
      <c r="J32" s="22" t="s">
        <v>62</v>
      </c>
    </row>
    <row r="33" spans="1:10" ht="40" customHeight="1" x14ac:dyDescent="0.2">
      <c r="A33" s="24" t="s">
        <v>63</v>
      </c>
      <c r="B33" s="25"/>
      <c r="C33" s="25"/>
      <c r="D33" s="25"/>
      <c r="E33" s="25"/>
      <c r="F33" s="25"/>
      <c r="G33" s="26"/>
      <c r="J33" s="22" t="s">
        <v>64</v>
      </c>
    </row>
    <row r="34" spans="1:10" ht="40" customHeight="1" x14ac:dyDescent="0.2">
      <c r="A34" s="24" t="s">
        <v>65</v>
      </c>
      <c r="B34" s="25"/>
      <c r="C34" s="25"/>
      <c r="D34" s="25"/>
      <c r="E34" s="25"/>
      <c r="F34" s="25"/>
      <c r="G34" s="26"/>
      <c r="J34" s="22" t="s">
        <v>66</v>
      </c>
    </row>
    <row r="35" spans="1:10" ht="24" customHeight="1" x14ac:dyDescent="0.2">
      <c r="A35" s="22" t="s">
        <v>62</v>
      </c>
      <c r="J35" s="22" t="s">
        <v>67</v>
      </c>
    </row>
    <row r="36" spans="1:10" ht="15" customHeight="1" x14ac:dyDescent="0.2">
      <c r="A36" s="22" t="s">
        <v>64</v>
      </c>
      <c r="J36" s="22" t="s">
        <v>68</v>
      </c>
    </row>
    <row r="37" spans="1:10" ht="15" customHeight="1" x14ac:dyDescent="0.2">
      <c r="A37" s="22" t="s">
        <v>69</v>
      </c>
      <c r="J37" s="22" t="s">
        <v>70</v>
      </c>
    </row>
    <row r="38" spans="1:10" ht="15" customHeight="1" x14ac:dyDescent="0.2">
      <c r="A38" s="22" t="s">
        <v>66</v>
      </c>
      <c r="J38" s="22" t="s">
        <v>71</v>
      </c>
    </row>
    <row r="39" spans="1:10" ht="15" customHeight="1" x14ac:dyDescent="0.2">
      <c r="A39" s="22" t="s">
        <v>72</v>
      </c>
      <c r="J39" s="22" t="s">
        <v>73</v>
      </c>
    </row>
    <row r="40" spans="1:10" ht="15" customHeight="1" x14ac:dyDescent="0.2">
      <c r="A40" s="22" t="s">
        <v>68</v>
      </c>
      <c r="J40" s="22" t="s">
        <v>74</v>
      </c>
    </row>
    <row r="41" spans="1:10" ht="40" customHeight="1" x14ac:dyDescent="0.2">
      <c r="A41" s="22" t="s">
        <v>71</v>
      </c>
      <c r="J41" s="22" t="s">
        <v>75</v>
      </c>
    </row>
    <row r="42" spans="1:10" ht="40" customHeight="1" x14ac:dyDescent="0.2">
      <c r="A42" s="22" t="s">
        <v>73</v>
      </c>
      <c r="J42" s="22" t="s">
        <v>76</v>
      </c>
    </row>
    <row r="43" spans="1:10" ht="40" customHeight="1" x14ac:dyDescent="0.2">
      <c r="A43" s="22" t="s">
        <v>74</v>
      </c>
    </row>
    <row r="44" spans="1:10" ht="15" customHeight="1" x14ac:dyDescent="0.2">
      <c r="A44" s="22" t="s">
        <v>75</v>
      </c>
    </row>
    <row r="45" spans="1:10" ht="40" customHeight="1" x14ac:dyDescent="0.2">
      <c r="A45" s="22" t="s">
        <v>76</v>
      </c>
    </row>
  </sheetData>
  <mergeCells count="12">
    <mergeCell ref="J31:P31"/>
    <mergeCell ref="A32:G32"/>
    <mergeCell ref="A33:G33"/>
    <mergeCell ref="A34:G34"/>
    <mergeCell ref="A1:G1"/>
    <mergeCell ref="J1:P1"/>
    <mergeCell ref="A2:A3"/>
    <mergeCell ref="B2:D2"/>
    <mergeCell ref="E2:G2"/>
    <mergeCell ref="J2:J3"/>
    <mergeCell ref="K2:M2"/>
    <mergeCell ref="N2:P2"/>
  </mergeCells>
  <printOptions horizontalCentered="1"/>
  <pageMargins left="0.5" right="0.5" top="0.5" bottom="0.8" header="0" footer="0.5"/>
  <pageSetup fitToHeight="32767" orientation="landscape" errors="blank" horizontalDpi="0"/>
  <headerFooter>
    <oddFoote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G39"/>
  <sheetViews>
    <sheetView showGridLines="0" workbookViewId="0">
      <selection activeCell="F5" sqref="F5"/>
    </sheetView>
  </sheetViews>
  <sheetFormatPr baseColWidth="10" defaultColWidth="8.33203125" defaultRowHeight="12" customHeight="1" x14ac:dyDescent="0.2"/>
  <cols>
    <col min="1" max="1" width="50" style="1" bestFit="1" customWidth="1"/>
    <col min="2" max="3" width="16.6640625" style="1" bestFit="1" customWidth="1"/>
    <col min="4" max="16384" width="8.33203125" style="1"/>
  </cols>
  <sheetData>
    <row r="1" spans="1:7" ht="50" customHeight="1" x14ac:dyDescent="0.2">
      <c r="A1" s="27" t="s">
        <v>77</v>
      </c>
      <c r="B1" s="27"/>
      <c r="C1" s="27"/>
      <c r="D1" s="27"/>
      <c r="E1" s="27"/>
      <c r="F1" s="27"/>
      <c r="G1" s="27"/>
    </row>
    <row r="2" spans="1:7" ht="12" customHeight="1" x14ac:dyDescent="0.15">
      <c r="A2" s="28" t="s">
        <v>2</v>
      </c>
      <c r="B2" s="30" t="s">
        <v>3</v>
      </c>
      <c r="C2" s="31"/>
      <c r="D2" s="32"/>
      <c r="E2" s="30" t="s">
        <v>4</v>
      </c>
      <c r="F2" s="31"/>
      <c r="G2" s="32"/>
    </row>
    <row r="3" spans="1:7" ht="16" customHeight="1" x14ac:dyDescent="0.15">
      <c r="A3" s="29"/>
      <c r="B3" s="2" t="s">
        <v>6</v>
      </c>
      <c r="C3" s="2" t="s">
        <v>7</v>
      </c>
      <c r="D3" s="2" t="s">
        <v>8</v>
      </c>
      <c r="E3" s="2" t="s">
        <v>6</v>
      </c>
      <c r="F3" s="2" t="s">
        <v>7</v>
      </c>
      <c r="G3" s="2" t="s">
        <v>8</v>
      </c>
    </row>
    <row r="4" spans="1:7" ht="13" customHeight="1" x14ac:dyDescent="0.2">
      <c r="A4" s="3" t="s">
        <v>78</v>
      </c>
      <c r="B4" s="4">
        <v>-198748.69130000001</v>
      </c>
      <c r="C4" s="4">
        <v>-111337.7847</v>
      </c>
      <c r="D4" s="4">
        <v>-46.1</v>
      </c>
      <c r="E4" s="4">
        <v>-403209.426882</v>
      </c>
      <c r="F4" s="4">
        <v>-374231.2288172</v>
      </c>
      <c r="G4" s="4">
        <v>-10.6</v>
      </c>
    </row>
    <row r="5" spans="1:7" ht="12" customHeight="1" x14ac:dyDescent="0.2">
      <c r="A5" s="7" t="s">
        <v>79</v>
      </c>
      <c r="B5" s="8">
        <v>-194631.8781</v>
      </c>
      <c r="C5" s="8">
        <v>-96447.051560000007</v>
      </c>
      <c r="D5" s="8">
        <v>-52.3</v>
      </c>
      <c r="E5" s="8">
        <v>-405775.42213100003</v>
      </c>
      <c r="F5" s="8">
        <v>-377906.29450100003</v>
      </c>
      <c r="G5" s="8">
        <v>-10.3</v>
      </c>
    </row>
    <row r="6" spans="1:7" ht="12" customHeight="1" x14ac:dyDescent="0.2">
      <c r="A6" s="9" t="s">
        <v>12</v>
      </c>
      <c r="B6" s="4">
        <v>-121894.6951</v>
      </c>
      <c r="C6" s="4">
        <v>-135345.307</v>
      </c>
      <c r="D6" s="4">
        <v>6.8</v>
      </c>
      <c r="E6" s="4">
        <v>-413104.37498700002</v>
      </c>
      <c r="F6" s="4">
        <v>-393031.36448500003</v>
      </c>
      <c r="G6" s="4">
        <v>-8.3000000000000007</v>
      </c>
    </row>
    <row r="7" spans="1:7" ht="12" customHeight="1" x14ac:dyDescent="0.2">
      <c r="A7" s="10" t="s">
        <v>80</v>
      </c>
      <c r="B7" s="8">
        <v>-23526.44</v>
      </c>
      <c r="C7" s="8">
        <v>-8291.6470000000008</v>
      </c>
      <c r="D7" s="8">
        <v>-66.099999999999994</v>
      </c>
      <c r="E7" s="8">
        <v>42777.385000000002</v>
      </c>
      <c r="F7" s="8">
        <v>44931.493999999999</v>
      </c>
      <c r="G7" s="8">
        <v>1.2</v>
      </c>
    </row>
    <row r="8" spans="1:7" ht="12" customHeight="1" x14ac:dyDescent="0.2">
      <c r="A8" s="15" t="s">
        <v>49</v>
      </c>
      <c r="B8" s="4">
        <v>-11882.548860000001</v>
      </c>
      <c r="C8" s="4">
        <v>-8460.3362870000001</v>
      </c>
      <c r="D8" s="4">
        <v>-31.5</v>
      </c>
      <c r="E8" s="4">
        <v>15508.308988000001</v>
      </c>
      <c r="F8" s="4">
        <v>16320.731887</v>
      </c>
      <c r="G8" s="4">
        <v>1.4</v>
      </c>
    </row>
    <row r="9" spans="1:7" ht="12" customHeight="1" x14ac:dyDescent="0.2">
      <c r="A9" s="11" t="s">
        <v>51</v>
      </c>
      <c r="B9" s="8">
        <v>-11643.89134</v>
      </c>
      <c r="C9" s="8">
        <v>168.68938399999999</v>
      </c>
      <c r="D9" s="16" t="s">
        <v>26</v>
      </c>
      <c r="E9" s="8">
        <v>27269.074984999999</v>
      </c>
      <c r="F9" s="8">
        <v>28610.762942000001</v>
      </c>
      <c r="G9" s="8">
        <v>1.1000000000000001</v>
      </c>
    </row>
    <row r="10" spans="1:7" ht="12" customHeight="1" x14ac:dyDescent="0.2">
      <c r="A10" s="9" t="s">
        <v>81</v>
      </c>
      <c r="B10" s="4">
        <v>-49210.743000000002</v>
      </c>
      <c r="C10" s="4">
        <v>47189.902000000002</v>
      </c>
      <c r="D10" s="19" t="s">
        <v>26</v>
      </c>
      <c r="E10" s="4">
        <v>-35448.432000000001</v>
      </c>
      <c r="F10" s="4">
        <v>-29806.423999999999</v>
      </c>
      <c r="G10" s="4">
        <v>-19</v>
      </c>
    </row>
    <row r="11" spans="1:7" ht="12" customHeight="1" x14ac:dyDescent="0.2">
      <c r="A11" s="11" t="s">
        <v>14</v>
      </c>
      <c r="B11" s="8">
        <v>-29050.49583</v>
      </c>
      <c r="C11" s="8">
        <v>25958.177350000002</v>
      </c>
      <c r="D11" s="16" t="s">
        <v>26</v>
      </c>
      <c r="E11" s="8">
        <v>-37353.444287999999</v>
      </c>
      <c r="F11" s="8">
        <v>-35670.246355000003</v>
      </c>
      <c r="G11" s="8">
        <v>-8</v>
      </c>
    </row>
    <row r="12" spans="1:7" ht="12" customHeight="1" x14ac:dyDescent="0.2">
      <c r="A12" s="15" t="s">
        <v>82</v>
      </c>
      <c r="B12" s="4">
        <v>-20160.246940000001</v>
      </c>
      <c r="C12" s="4">
        <v>21231.724969999999</v>
      </c>
      <c r="D12" s="19" t="s">
        <v>26</v>
      </c>
      <c r="E12" s="4">
        <v>1905.0131859999999</v>
      </c>
      <c r="F12" s="4">
        <v>5863.8214509999998</v>
      </c>
      <c r="G12" s="4">
        <v>196.5</v>
      </c>
    </row>
    <row r="13" spans="1:7" ht="12" customHeight="1" x14ac:dyDescent="0.2">
      <c r="A13" s="10" t="s">
        <v>83</v>
      </c>
      <c r="B13" s="8">
        <v>0</v>
      </c>
      <c r="C13" s="8">
        <v>0</v>
      </c>
      <c r="D13" s="16" t="s">
        <v>26</v>
      </c>
      <c r="E13" s="8">
        <v>0</v>
      </c>
      <c r="F13" s="8">
        <v>0</v>
      </c>
      <c r="G13" s="16" t="s">
        <v>26</v>
      </c>
    </row>
    <row r="14" spans="1:7" ht="12" customHeight="1" x14ac:dyDescent="0.2">
      <c r="A14" s="12" t="s">
        <v>84</v>
      </c>
      <c r="B14" s="4">
        <v>-4116.8132020000003</v>
      </c>
      <c r="C14" s="4">
        <v>-14890.733109999999</v>
      </c>
      <c r="D14" s="4">
        <v>247.9</v>
      </c>
      <c r="E14" s="4">
        <v>2565.9952549999998</v>
      </c>
      <c r="F14" s="4">
        <v>3675.0656748000001</v>
      </c>
      <c r="G14" s="4">
        <v>38</v>
      </c>
    </row>
    <row r="15" spans="1:7" ht="12" customHeight="1" x14ac:dyDescent="0.2">
      <c r="A15" s="10" t="s">
        <v>85</v>
      </c>
      <c r="B15" s="8">
        <v>-3717.3609759999999</v>
      </c>
      <c r="C15" s="8">
        <v>-9251.8692539999993</v>
      </c>
      <c r="D15" s="8">
        <v>139.4</v>
      </c>
      <c r="E15" s="8">
        <v>3170.7306910000002</v>
      </c>
      <c r="F15" s="8">
        <v>2841.9294970000001</v>
      </c>
      <c r="G15" s="8">
        <v>-13.7</v>
      </c>
    </row>
    <row r="16" spans="1:7" ht="12" customHeight="1" x14ac:dyDescent="0.2">
      <c r="A16" s="9" t="s">
        <v>86</v>
      </c>
      <c r="B16" s="4">
        <v>-399.45222610000002</v>
      </c>
      <c r="C16" s="4">
        <v>-5638.8638600000004</v>
      </c>
      <c r="D16" s="19" t="s">
        <v>41</v>
      </c>
      <c r="E16" s="4">
        <v>-604.73543359999996</v>
      </c>
      <c r="F16" s="4">
        <v>833.13617599999998</v>
      </c>
      <c r="G16" s="19" t="s">
        <v>26</v>
      </c>
    </row>
    <row r="17" spans="1:7" ht="13" customHeight="1" x14ac:dyDescent="0.2">
      <c r="A17" s="21" t="s">
        <v>87</v>
      </c>
      <c r="B17" s="8">
        <v>-99011.524560000005</v>
      </c>
      <c r="C17" s="8">
        <v>401.46646040000002</v>
      </c>
      <c r="D17" s="16" t="s">
        <v>26</v>
      </c>
      <c r="E17" s="8">
        <v>-97486.146437999996</v>
      </c>
      <c r="F17" s="8">
        <v>-60221.3352256</v>
      </c>
      <c r="G17" s="8">
        <v>-40.5</v>
      </c>
    </row>
    <row r="18" spans="1:7" ht="12" customHeight="1" x14ac:dyDescent="0.2">
      <c r="A18" s="12" t="s">
        <v>79</v>
      </c>
      <c r="B18" s="4">
        <v>-95294.163589999996</v>
      </c>
      <c r="C18" s="4">
        <v>9642.7775579999998</v>
      </c>
      <c r="D18" s="19" t="s">
        <v>26</v>
      </c>
      <c r="E18" s="4">
        <v>-100656.877138</v>
      </c>
      <c r="F18" s="4">
        <v>-63354.894116000003</v>
      </c>
      <c r="G18" s="4">
        <v>-39.4</v>
      </c>
    </row>
    <row r="19" spans="1:7" ht="12" customHeight="1" x14ac:dyDescent="0.2">
      <c r="A19" s="10" t="s">
        <v>12</v>
      </c>
      <c r="B19" s="8">
        <v>-29341.008160000001</v>
      </c>
      <c r="C19" s="8">
        <v>-36481.39127</v>
      </c>
      <c r="D19" s="8">
        <v>19.600000000000001</v>
      </c>
      <c r="E19" s="8">
        <v>-156160.89167300001</v>
      </c>
      <c r="F19" s="8">
        <v>-122732.84575209999</v>
      </c>
      <c r="G19" s="8">
        <v>-24.3</v>
      </c>
    </row>
    <row r="20" spans="1:7" ht="12" customHeight="1" x14ac:dyDescent="0.2">
      <c r="A20" s="9" t="s">
        <v>88</v>
      </c>
      <c r="B20" s="4">
        <v>-23526.44</v>
      </c>
      <c r="C20" s="4">
        <v>-8291.6470000000008</v>
      </c>
      <c r="D20" s="4">
        <v>-66.099999999999994</v>
      </c>
      <c r="E20" s="4">
        <v>42777.385000000002</v>
      </c>
      <c r="F20" s="4">
        <v>44931.493999999999</v>
      </c>
      <c r="G20" s="4">
        <v>1.2</v>
      </c>
    </row>
    <row r="21" spans="1:7" ht="12" customHeight="1" x14ac:dyDescent="0.2">
      <c r="A21" s="11" t="s">
        <v>49</v>
      </c>
      <c r="B21" s="8">
        <v>-11882.548860000001</v>
      </c>
      <c r="C21" s="8">
        <v>-8460.3362870000001</v>
      </c>
      <c r="D21" s="8">
        <v>-31.5</v>
      </c>
      <c r="E21" s="8">
        <v>15508.308988000001</v>
      </c>
      <c r="F21" s="8">
        <v>16320.731887</v>
      </c>
      <c r="G21" s="8">
        <v>1.4</v>
      </c>
    </row>
    <row r="22" spans="1:7" ht="12" customHeight="1" x14ac:dyDescent="0.2">
      <c r="A22" s="15" t="s">
        <v>51</v>
      </c>
      <c r="B22" s="4">
        <v>-11643.89134</v>
      </c>
      <c r="C22" s="4">
        <v>168.68938399999999</v>
      </c>
      <c r="D22" s="19" t="s">
        <v>26</v>
      </c>
      <c r="E22" s="4">
        <v>27269.074984999999</v>
      </c>
      <c r="F22" s="4">
        <v>28610.762942000001</v>
      </c>
      <c r="G22" s="4">
        <v>1.1000000000000001</v>
      </c>
    </row>
    <row r="23" spans="1:7" ht="12" customHeight="1" x14ac:dyDescent="0.2">
      <c r="A23" s="10" t="s">
        <v>81</v>
      </c>
      <c r="B23" s="8">
        <v>-42426.714999999997</v>
      </c>
      <c r="C23" s="8">
        <v>54415.815999999999</v>
      </c>
      <c r="D23" s="16" t="s">
        <v>26</v>
      </c>
      <c r="E23" s="8">
        <v>12726.63</v>
      </c>
      <c r="F23" s="8">
        <v>14446.455</v>
      </c>
      <c r="G23" s="8">
        <v>9.4</v>
      </c>
    </row>
    <row r="24" spans="1:7" ht="12" customHeight="1" x14ac:dyDescent="0.2">
      <c r="A24" s="15" t="s">
        <v>14</v>
      </c>
      <c r="B24" s="4">
        <v>-23130.839449999999</v>
      </c>
      <c r="C24" s="4">
        <v>32286.556670000002</v>
      </c>
      <c r="D24" s="19" t="s">
        <v>26</v>
      </c>
      <c r="E24" s="4">
        <v>1043.116927</v>
      </c>
      <c r="F24" s="4">
        <v>-3069.5401889999998</v>
      </c>
      <c r="G24" s="19" t="s">
        <v>26</v>
      </c>
    </row>
    <row r="25" spans="1:7" ht="12" customHeight="1" x14ac:dyDescent="0.2">
      <c r="A25" s="11" t="s">
        <v>82</v>
      </c>
      <c r="B25" s="8">
        <v>-19295.875779999998</v>
      </c>
      <c r="C25" s="8">
        <v>22129.25906</v>
      </c>
      <c r="D25" s="16" t="s">
        <v>26</v>
      </c>
      <c r="E25" s="8">
        <v>11683.513628000001</v>
      </c>
      <c r="F25" s="8">
        <v>17515.996975999999</v>
      </c>
      <c r="G25" s="8">
        <v>44.4</v>
      </c>
    </row>
    <row r="26" spans="1:7" ht="12" customHeight="1" x14ac:dyDescent="0.2">
      <c r="A26" s="9" t="s">
        <v>83</v>
      </c>
      <c r="B26" s="4">
        <v>0</v>
      </c>
      <c r="C26" s="4">
        <v>0</v>
      </c>
      <c r="D26" s="19" t="s">
        <v>26</v>
      </c>
      <c r="E26" s="4">
        <v>0</v>
      </c>
      <c r="F26" s="4">
        <v>0</v>
      </c>
      <c r="G26" s="19" t="s">
        <v>26</v>
      </c>
    </row>
    <row r="27" spans="1:7" ht="12" customHeight="1" x14ac:dyDescent="0.2">
      <c r="A27" s="7" t="s">
        <v>84</v>
      </c>
      <c r="B27" s="8">
        <v>-3717.3609759999999</v>
      </c>
      <c r="C27" s="8">
        <v>-9241.3110980000001</v>
      </c>
      <c r="D27" s="8">
        <v>139.1</v>
      </c>
      <c r="E27" s="8">
        <v>3170.7306910000002</v>
      </c>
      <c r="F27" s="8">
        <v>3133.558904</v>
      </c>
      <c r="G27" s="8">
        <v>-4.8</v>
      </c>
    </row>
    <row r="28" spans="1:7" ht="12" customHeight="1" x14ac:dyDescent="0.2">
      <c r="A28" s="22"/>
    </row>
    <row r="29" spans="1:7" ht="24" customHeight="1" x14ac:dyDescent="0.2">
      <c r="A29" s="22" t="s">
        <v>62</v>
      </c>
    </row>
    <row r="30" spans="1:7" ht="15" customHeight="1" x14ac:dyDescent="0.2">
      <c r="A30" s="22" t="s">
        <v>64</v>
      </c>
    </row>
    <row r="31" spans="1:7" ht="15" customHeight="1" x14ac:dyDescent="0.2">
      <c r="A31" s="22" t="s">
        <v>67</v>
      </c>
    </row>
    <row r="32" spans="1:7" ht="15" customHeight="1" x14ac:dyDescent="0.2">
      <c r="A32" s="22" t="s">
        <v>66</v>
      </c>
    </row>
    <row r="33" spans="1:1" ht="15" customHeight="1" x14ac:dyDescent="0.2">
      <c r="A33" s="22" t="s">
        <v>70</v>
      </c>
    </row>
    <row r="34" spans="1:1" ht="15" customHeight="1" x14ac:dyDescent="0.2">
      <c r="A34" s="22" t="s">
        <v>89</v>
      </c>
    </row>
    <row r="35" spans="1:1" ht="40" customHeight="1" x14ac:dyDescent="0.2">
      <c r="A35" s="22" t="s">
        <v>71</v>
      </c>
    </row>
    <row r="36" spans="1:1" ht="40" customHeight="1" x14ac:dyDescent="0.2">
      <c r="A36" s="22" t="s">
        <v>73</v>
      </c>
    </row>
    <row r="37" spans="1:1" ht="40" customHeight="1" x14ac:dyDescent="0.2">
      <c r="A37" s="22" t="s">
        <v>74</v>
      </c>
    </row>
    <row r="38" spans="1:1" ht="15" customHeight="1" x14ac:dyDescent="0.2">
      <c r="A38" s="22" t="s">
        <v>75</v>
      </c>
    </row>
    <row r="39" spans="1:1" ht="40" customHeight="1" x14ac:dyDescent="0.2">
      <c r="A39" s="22" t="s">
        <v>76</v>
      </c>
    </row>
  </sheetData>
  <mergeCells count="4">
    <mergeCell ref="A1:G1"/>
    <mergeCell ref="A2:A3"/>
    <mergeCell ref="B2:D2"/>
    <mergeCell ref="E2:G2"/>
  </mergeCells>
  <printOptions horizontalCentered="1"/>
  <pageMargins left="0.5" right="0.5" top="0.5" bottom="0.8" header="0" footer="0.5"/>
  <pageSetup fitToHeight="32767" orientation="landscape" errors="blank" horizontalDpi="0"/>
  <headerFooter>
    <oddFoote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G65"/>
  <sheetViews>
    <sheetView showGridLines="0" tabSelected="1" topLeftCell="A6" zoomScale="150" zoomScaleNormal="196" workbookViewId="0">
      <selection activeCell="A23" sqref="A23"/>
    </sheetView>
  </sheetViews>
  <sheetFormatPr baseColWidth="10" defaultColWidth="8.33203125" defaultRowHeight="12" customHeight="1" x14ac:dyDescent="0.2"/>
  <cols>
    <col min="1" max="1" width="50" style="1" bestFit="1" customWidth="1"/>
    <col min="2" max="3" width="16.83203125" style="1" bestFit="1" customWidth="1"/>
    <col min="4" max="4" width="8.5" style="1" bestFit="1" customWidth="1"/>
    <col min="5" max="6" width="9.33203125" style="1" bestFit="1" customWidth="1"/>
    <col min="7" max="7" width="8.5" style="1" bestFit="1" customWidth="1"/>
    <col min="8" max="16384" width="8.33203125" style="1"/>
  </cols>
  <sheetData>
    <row r="1" spans="1:7" ht="50" customHeight="1" x14ac:dyDescent="0.2">
      <c r="A1" s="27" t="s">
        <v>90</v>
      </c>
      <c r="B1" s="27"/>
      <c r="C1" s="27"/>
      <c r="D1" s="27"/>
      <c r="E1" s="27"/>
      <c r="F1" s="27"/>
      <c r="G1" s="27"/>
    </row>
    <row r="2" spans="1:7" ht="12" customHeight="1" x14ac:dyDescent="0.15">
      <c r="A2" s="28" t="s">
        <v>2</v>
      </c>
      <c r="B2" s="30" t="s">
        <v>3</v>
      </c>
      <c r="C2" s="31"/>
      <c r="D2" s="32"/>
      <c r="E2" s="30" t="s">
        <v>4</v>
      </c>
      <c r="F2" s="31"/>
      <c r="G2" s="32"/>
    </row>
    <row r="3" spans="1:7" ht="16" customHeight="1" x14ac:dyDescent="0.15">
      <c r="A3" s="29"/>
      <c r="B3" s="2" t="s">
        <v>6</v>
      </c>
      <c r="C3" s="2" t="s">
        <v>7</v>
      </c>
      <c r="D3" s="2" t="s">
        <v>8</v>
      </c>
      <c r="E3" s="2" t="s">
        <v>6</v>
      </c>
      <c r="F3" s="2" t="s">
        <v>7</v>
      </c>
      <c r="G3" s="2" t="s">
        <v>8</v>
      </c>
    </row>
    <row r="4" spans="1:7" ht="13" customHeight="1" x14ac:dyDescent="0.2">
      <c r="A4" s="3" t="s">
        <v>91</v>
      </c>
      <c r="B4" s="4">
        <v>304365.68300000002</v>
      </c>
      <c r="C4" s="4">
        <v>510826.29399999999</v>
      </c>
      <c r="D4" s="4">
        <v>61.4</v>
      </c>
      <c r="E4" s="4">
        <v>3514529.531</v>
      </c>
      <c r="F4" s="4">
        <v>3800415.6170000001</v>
      </c>
      <c r="G4" s="4">
        <v>4.2</v>
      </c>
    </row>
    <row r="5" spans="1:7" ht="12" customHeight="1" x14ac:dyDescent="0.2">
      <c r="A5" s="7" t="s">
        <v>10</v>
      </c>
      <c r="B5" s="8">
        <v>123467.318</v>
      </c>
      <c r="C5" s="8">
        <v>168624.19209999999</v>
      </c>
      <c r="D5" s="8">
        <v>31.4</v>
      </c>
      <c r="E5" s="8">
        <v>1386406.3975899999</v>
      </c>
      <c r="F5" s="8">
        <v>1344487.5724899999</v>
      </c>
      <c r="G5" s="8">
        <v>-6.6</v>
      </c>
    </row>
    <row r="6" spans="1:7" ht="12" customHeight="1" x14ac:dyDescent="0.2">
      <c r="A6" s="9" t="s">
        <v>12</v>
      </c>
      <c r="B6" s="4">
        <v>71133.450039999996</v>
      </c>
      <c r="C6" s="4">
        <v>69408.084109999996</v>
      </c>
      <c r="D6" s="4">
        <v>-6.2</v>
      </c>
      <c r="E6" s="4">
        <v>923285.11078999995</v>
      </c>
      <c r="F6" s="4">
        <v>861551.63951999997</v>
      </c>
      <c r="G6" s="4">
        <v>-10.1</v>
      </c>
    </row>
    <row r="7" spans="1:7" ht="12" customHeight="1" x14ac:dyDescent="0.2">
      <c r="A7" s="10" t="s">
        <v>92</v>
      </c>
      <c r="B7" s="8">
        <v>52333.868000000002</v>
      </c>
      <c r="C7" s="8">
        <v>99216.107999999993</v>
      </c>
      <c r="D7" s="8">
        <v>82.3</v>
      </c>
      <c r="E7" s="8">
        <v>463121.28700000001</v>
      </c>
      <c r="F7" s="8">
        <v>482935.93300000002</v>
      </c>
      <c r="G7" s="8">
        <v>0.5</v>
      </c>
    </row>
    <row r="8" spans="1:7" ht="12" customHeight="1" x14ac:dyDescent="0.2">
      <c r="A8" s="12" t="s">
        <v>16</v>
      </c>
      <c r="B8" s="4">
        <v>180898.3646</v>
      </c>
      <c r="C8" s="4">
        <v>342202.10200000001</v>
      </c>
      <c r="D8" s="4">
        <v>81.900000000000006</v>
      </c>
      <c r="E8" s="4">
        <v>2128123.1351999999</v>
      </c>
      <c r="F8" s="4">
        <v>2455928.0444</v>
      </c>
      <c r="G8" s="4">
        <v>11.2</v>
      </c>
    </row>
    <row r="9" spans="1:7" ht="12" customHeight="1" x14ac:dyDescent="0.2">
      <c r="A9" s="10" t="s">
        <v>12</v>
      </c>
      <c r="B9" s="8">
        <v>126463.3416</v>
      </c>
      <c r="C9" s="8">
        <v>257610.85500000001</v>
      </c>
      <c r="D9" s="8">
        <v>95.9</v>
      </c>
      <c r="E9" s="8">
        <v>1529248.6401800001</v>
      </c>
      <c r="F9" s="8">
        <v>1842023.5674000001</v>
      </c>
      <c r="G9" s="8">
        <v>16</v>
      </c>
    </row>
    <row r="10" spans="1:7" ht="12" customHeight="1" x14ac:dyDescent="0.2">
      <c r="A10" s="15" t="s">
        <v>19</v>
      </c>
      <c r="B10" s="4">
        <v>115967.39569999999</v>
      </c>
      <c r="C10" s="4">
        <v>147850.1556</v>
      </c>
      <c r="D10" s="4">
        <v>22.6</v>
      </c>
      <c r="E10" s="4">
        <v>1314439.59027</v>
      </c>
      <c r="F10" s="4">
        <v>1561751.5615000001</v>
      </c>
      <c r="G10" s="4">
        <v>14.5</v>
      </c>
    </row>
    <row r="11" spans="1:7" ht="12" customHeight="1" x14ac:dyDescent="0.2">
      <c r="A11" s="11" t="s">
        <v>93</v>
      </c>
      <c r="B11" s="8">
        <v>10495.94587</v>
      </c>
      <c r="C11" s="8">
        <v>109760.6994</v>
      </c>
      <c r="D11" s="16" t="s">
        <v>41</v>
      </c>
      <c r="E11" s="8">
        <v>214809.049876</v>
      </c>
      <c r="F11" s="8">
        <v>280272.00602500001</v>
      </c>
      <c r="G11" s="8">
        <v>25.7</v>
      </c>
    </row>
    <row r="12" spans="1:7" ht="12" customHeight="1" x14ac:dyDescent="0.2">
      <c r="A12" s="9" t="s">
        <v>88</v>
      </c>
      <c r="B12" s="4">
        <v>54435.023000000001</v>
      </c>
      <c r="C12" s="4">
        <v>84591.247000000003</v>
      </c>
      <c r="D12" s="4">
        <v>49.5</v>
      </c>
      <c r="E12" s="4">
        <v>598874.495</v>
      </c>
      <c r="F12" s="4">
        <v>613904.47699999996</v>
      </c>
      <c r="G12" s="4">
        <v>-1.2</v>
      </c>
    </row>
    <row r="13" spans="1:7" ht="13" customHeight="1" x14ac:dyDescent="0.2">
      <c r="A13" s="21" t="s">
        <v>94</v>
      </c>
      <c r="B13" s="8">
        <v>498997.56099999999</v>
      </c>
      <c r="C13" s="8">
        <v>607273.34539999999</v>
      </c>
      <c r="D13" s="8">
        <v>17</v>
      </c>
      <c r="E13" s="8">
        <v>3920304.9528000001</v>
      </c>
      <c r="F13" s="8">
        <v>4178321.9106999999</v>
      </c>
      <c r="G13" s="8">
        <v>2.7</v>
      </c>
    </row>
    <row r="14" spans="1:7" ht="12" customHeight="1" x14ac:dyDescent="0.2">
      <c r="A14" s="12" t="s">
        <v>95</v>
      </c>
      <c r="B14" s="4">
        <v>358766.1727</v>
      </c>
      <c r="C14" s="4">
        <v>463133.15169999999</v>
      </c>
      <c r="D14" s="4">
        <v>24.2</v>
      </c>
      <c r="E14" s="4">
        <v>3102197.7472000001</v>
      </c>
      <c r="F14" s="4">
        <v>3316608.6795999999</v>
      </c>
      <c r="G14" s="4">
        <v>3</v>
      </c>
    </row>
    <row r="15" spans="1:7" ht="12" customHeight="1" x14ac:dyDescent="0.2">
      <c r="A15" s="10" t="s">
        <v>13</v>
      </c>
      <c r="B15" s="8">
        <v>268240.86420000001</v>
      </c>
      <c r="C15" s="8">
        <v>260478.62580000001</v>
      </c>
      <c r="D15" s="8">
        <v>-6.6</v>
      </c>
      <c r="E15" s="8">
        <v>2360694.5162</v>
      </c>
      <c r="F15" s="8">
        <v>2440771.5427999999</v>
      </c>
      <c r="G15" s="8">
        <v>-0.4</v>
      </c>
    </row>
    <row r="16" spans="1:7" ht="12" customHeight="1" x14ac:dyDescent="0.2">
      <c r="A16" s="15" t="s">
        <v>96</v>
      </c>
      <c r="B16" s="4">
        <v>103894.23179999999</v>
      </c>
      <c r="C16" s="4">
        <v>103274.72470000001</v>
      </c>
      <c r="D16" s="4">
        <v>-4.4000000000000004</v>
      </c>
      <c r="E16" s="4">
        <v>926101.90676000004</v>
      </c>
      <c r="F16" s="4">
        <v>963100.26459000004</v>
      </c>
      <c r="G16" s="4">
        <v>0.2</v>
      </c>
    </row>
    <row r="17" spans="1:7" ht="12" customHeight="1" x14ac:dyDescent="0.2">
      <c r="A17" s="11" t="s">
        <v>20</v>
      </c>
      <c r="B17" s="8">
        <v>62697.26526</v>
      </c>
      <c r="C17" s="8">
        <v>62906.456740000001</v>
      </c>
      <c r="D17" s="8">
        <v>-3.5</v>
      </c>
      <c r="E17" s="8">
        <v>480846.60629000003</v>
      </c>
      <c r="F17" s="8">
        <v>480005.51199999999</v>
      </c>
      <c r="G17" s="8">
        <v>-3.8</v>
      </c>
    </row>
    <row r="18" spans="1:7" ht="12" customHeight="1" x14ac:dyDescent="0.2">
      <c r="A18" s="15" t="s">
        <v>97</v>
      </c>
      <c r="B18" s="4">
        <v>32289.83783</v>
      </c>
      <c r="C18" s="4">
        <v>24775.344209999999</v>
      </c>
      <c r="D18" s="4">
        <v>-26.2</v>
      </c>
      <c r="E18" s="4">
        <v>429497.71169999999</v>
      </c>
      <c r="F18" s="4">
        <v>467926.43676999997</v>
      </c>
      <c r="G18" s="4">
        <v>5</v>
      </c>
    </row>
    <row r="19" spans="1:7" ht="12" customHeight="1" x14ac:dyDescent="0.2">
      <c r="A19" s="11" t="s">
        <v>98</v>
      </c>
      <c r="B19" s="8">
        <v>56664.428</v>
      </c>
      <c r="C19" s="8">
        <v>73754.28542</v>
      </c>
      <c r="D19" s="8">
        <v>25.2</v>
      </c>
      <c r="E19" s="8">
        <v>489938.20299999998</v>
      </c>
      <c r="F19" s="8">
        <v>532701.84750000003</v>
      </c>
      <c r="G19" s="8">
        <v>4.7</v>
      </c>
    </row>
    <row r="20" spans="1:7" ht="12" customHeight="1" x14ac:dyDescent="0.2">
      <c r="A20" s="15" t="s">
        <v>99</v>
      </c>
      <c r="B20" s="4">
        <v>12695.10137</v>
      </c>
      <c r="C20" s="4">
        <v>-4232.1852959999997</v>
      </c>
      <c r="D20" s="19" t="s">
        <v>26</v>
      </c>
      <c r="E20" s="4">
        <v>34310.088530089997</v>
      </c>
      <c r="F20" s="4">
        <v>-2962.5179364000001</v>
      </c>
      <c r="G20" s="19" t="s">
        <v>26</v>
      </c>
    </row>
    <row r="21" spans="1:7" ht="12" customHeight="1" x14ac:dyDescent="0.2">
      <c r="A21" s="10" t="s">
        <v>31</v>
      </c>
      <c r="B21" s="8">
        <v>90525.308499999999</v>
      </c>
      <c r="C21" s="8">
        <v>202654.52590000001</v>
      </c>
      <c r="D21" s="8">
        <v>115.3</v>
      </c>
      <c r="E21" s="8">
        <v>741503.23106999998</v>
      </c>
      <c r="F21" s="8">
        <v>875837.13656000001</v>
      </c>
      <c r="G21" s="8">
        <v>13.8</v>
      </c>
    </row>
    <row r="22" spans="1:7" ht="12" customHeight="1" x14ac:dyDescent="0.2">
      <c r="A22" s="15" t="s">
        <v>100</v>
      </c>
      <c r="B22" s="4">
        <v>88273.04926</v>
      </c>
      <c r="C22" s="4">
        <v>98229.782600000006</v>
      </c>
      <c r="D22" s="4">
        <v>7</v>
      </c>
      <c r="E22" s="4">
        <v>680975.61123000004</v>
      </c>
      <c r="F22" s="4">
        <v>735500.46852999995</v>
      </c>
      <c r="G22" s="4">
        <v>4</v>
      </c>
    </row>
    <row r="23" spans="1:7" ht="12" customHeight="1" x14ac:dyDescent="0.2">
      <c r="A23" s="14" t="s">
        <v>37</v>
      </c>
      <c r="B23" s="8">
        <v>77968.406570000006</v>
      </c>
      <c r="C23" s="8">
        <v>73701.781910000005</v>
      </c>
      <c r="D23" s="8">
        <v>-9.1</v>
      </c>
      <c r="E23" s="8">
        <v>459012.45402</v>
      </c>
      <c r="F23" s="8">
        <v>458369.26854999998</v>
      </c>
      <c r="G23" s="8">
        <v>-3.8</v>
      </c>
    </row>
    <row r="24" spans="1:7" ht="12" customHeight="1" x14ac:dyDescent="0.2">
      <c r="A24" s="13" t="s">
        <v>39</v>
      </c>
      <c r="B24" s="4">
        <v>10304.642690000001</v>
      </c>
      <c r="C24" s="4">
        <v>24528.000690000001</v>
      </c>
      <c r="D24" s="4">
        <v>128.9</v>
      </c>
      <c r="E24" s="4">
        <v>221963.157221</v>
      </c>
      <c r="F24" s="4">
        <v>277131.2</v>
      </c>
      <c r="G24" s="4">
        <v>20.3</v>
      </c>
    </row>
    <row r="25" spans="1:7" ht="12" customHeight="1" x14ac:dyDescent="0.2">
      <c r="A25" s="11" t="s">
        <v>101</v>
      </c>
      <c r="B25" s="8">
        <v>2252.2592410000002</v>
      </c>
      <c r="C25" s="8">
        <v>104424.7433</v>
      </c>
      <c r="D25" s="16" t="s">
        <v>41</v>
      </c>
      <c r="E25" s="8">
        <v>60527.619829349998</v>
      </c>
      <c r="F25" s="8">
        <v>140336.66802330001</v>
      </c>
      <c r="G25" s="8">
        <v>123.4</v>
      </c>
    </row>
    <row r="26" spans="1:7" ht="12" customHeight="1" x14ac:dyDescent="0.2">
      <c r="A26" s="12" t="s">
        <v>46</v>
      </c>
      <c r="B26" s="4">
        <v>140231.38829999999</v>
      </c>
      <c r="C26" s="4">
        <v>144140.1937</v>
      </c>
      <c r="D26" s="4">
        <v>-1.1000000000000001</v>
      </c>
      <c r="E26" s="4">
        <v>818107.20538000006</v>
      </c>
      <c r="F26" s="4">
        <v>861713.23132999998</v>
      </c>
      <c r="G26" s="4">
        <v>1.5</v>
      </c>
    </row>
    <row r="27" spans="1:7" ht="12" customHeight="1" x14ac:dyDescent="0.2">
      <c r="A27" s="10" t="s">
        <v>48</v>
      </c>
      <c r="B27" s="8">
        <v>99337.714510000005</v>
      </c>
      <c r="C27" s="8">
        <v>106089.8291</v>
      </c>
      <c r="D27" s="8">
        <v>2.7</v>
      </c>
      <c r="E27" s="8">
        <v>305118.54499800003</v>
      </c>
      <c r="F27" s="8">
        <v>314551.40040899999</v>
      </c>
      <c r="G27" s="8">
        <v>-0.7</v>
      </c>
    </row>
    <row r="28" spans="1:7" ht="12" customHeight="1" x14ac:dyDescent="0.2">
      <c r="A28" s="15" t="s">
        <v>102</v>
      </c>
      <c r="B28" s="4">
        <v>99337.714510000005</v>
      </c>
      <c r="C28" s="4">
        <v>106089.8291</v>
      </c>
      <c r="D28" s="4">
        <v>2.7</v>
      </c>
      <c r="E28" s="4">
        <v>291789.03910599998</v>
      </c>
      <c r="F28" s="4">
        <v>300846.35161200003</v>
      </c>
      <c r="G28" s="4">
        <v>-0.7</v>
      </c>
    </row>
    <row r="29" spans="1:7" ht="12" customHeight="1" x14ac:dyDescent="0.2">
      <c r="A29" s="14" t="s">
        <v>12</v>
      </c>
      <c r="B29" s="8">
        <v>92553.686969999995</v>
      </c>
      <c r="C29" s="8">
        <v>98863.915710000001</v>
      </c>
      <c r="D29" s="8">
        <v>2.7</v>
      </c>
      <c r="E29" s="8">
        <v>243613.97744799999</v>
      </c>
      <c r="F29" s="8">
        <v>256593.469916</v>
      </c>
      <c r="G29" s="8">
        <v>1.5</v>
      </c>
    </row>
    <row r="30" spans="1:7" ht="12" customHeight="1" x14ac:dyDescent="0.2">
      <c r="A30" s="13" t="s">
        <v>103</v>
      </c>
      <c r="B30" s="4">
        <v>6784.0275410000004</v>
      </c>
      <c r="C30" s="4">
        <v>7225.9134080000003</v>
      </c>
      <c r="D30" s="4">
        <v>2.4</v>
      </c>
      <c r="E30" s="4">
        <v>48175.061664000001</v>
      </c>
      <c r="F30" s="4">
        <v>44252.881711000002</v>
      </c>
      <c r="G30" s="4">
        <v>-11.5</v>
      </c>
    </row>
    <row r="31" spans="1:7" ht="12" customHeight="1" x14ac:dyDescent="0.2">
      <c r="A31" s="11" t="s">
        <v>104</v>
      </c>
      <c r="B31" s="8">
        <v>0</v>
      </c>
      <c r="C31" s="8">
        <v>0</v>
      </c>
      <c r="D31" s="16" t="s">
        <v>26</v>
      </c>
      <c r="E31" s="8">
        <v>13329.505890799999</v>
      </c>
      <c r="F31" s="8">
        <v>13705.048750190001</v>
      </c>
      <c r="G31" s="8">
        <v>-1</v>
      </c>
    </row>
    <row r="32" spans="1:7" ht="12" customHeight="1" x14ac:dyDescent="0.2">
      <c r="A32" s="13" t="s">
        <v>105</v>
      </c>
      <c r="B32" s="4">
        <v>0</v>
      </c>
      <c r="C32" s="4">
        <v>0</v>
      </c>
      <c r="D32" s="19" t="s">
        <v>26</v>
      </c>
      <c r="E32" s="4">
        <v>10663.3</v>
      </c>
      <c r="F32" s="4">
        <v>11930.4</v>
      </c>
      <c r="G32" s="4">
        <v>7.8</v>
      </c>
    </row>
    <row r="33" spans="1:7" ht="12" customHeight="1" x14ac:dyDescent="0.2">
      <c r="A33" s="14" t="s">
        <v>45</v>
      </c>
      <c r="B33" s="8">
        <v>0</v>
      </c>
      <c r="C33" s="8">
        <v>0</v>
      </c>
      <c r="D33" s="16" t="s">
        <v>26</v>
      </c>
      <c r="E33" s="8">
        <v>2666.2058907999999</v>
      </c>
      <c r="F33" s="8">
        <v>1774.6487501900001</v>
      </c>
      <c r="G33" s="8">
        <v>-35.9</v>
      </c>
    </row>
    <row r="34" spans="1:7" ht="12" customHeight="1" x14ac:dyDescent="0.2">
      <c r="A34" s="9" t="s">
        <v>50</v>
      </c>
      <c r="B34" s="4">
        <v>40050.547760000001</v>
      </c>
      <c r="C34" s="4">
        <v>43460.189440000002</v>
      </c>
      <c r="D34" s="4">
        <v>4.4000000000000004</v>
      </c>
      <c r="E34" s="4">
        <v>494264.53239000001</v>
      </c>
      <c r="F34" s="4">
        <v>532455.48057999997</v>
      </c>
      <c r="G34" s="4">
        <v>3.8</v>
      </c>
    </row>
    <row r="35" spans="1:7" ht="12" customHeight="1" x14ac:dyDescent="0.2">
      <c r="A35" s="10" t="s">
        <v>106</v>
      </c>
      <c r="B35" s="8">
        <v>843.12603290000004</v>
      </c>
      <c r="C35" s="8">
        <v>-5409.8248329999997</v>
      </c>
      <c r="D35" s="16" t="s">
        <v>26</v>
      </c>
      <c r="E35" s="8">
        <v>18724.128029</v>
      </c>
      <c r="F35" s="8">
        <v>14706.350409000001</v>
      </c>
      <c r="G35" s="8">
        <v>-24.3</v>
      </c>
    </row>
    <row r="36" spans="1:7" ht="13" customHeight="1" x14ac:dyDescent="0.2">
      <c r="A36" s="3" t="s">
        <v>107</v>
      </c>
      <c r="B36" s="4">
        <v>-194631.8781</v>
      </c>
      <c r="C36" s="4">
        <v>-96447.051560000007</v>
      </c>
      <c r="D36" s="4">
        <v>-52.3</v>
      </c>
      <c r="E36" s="4">
        <v>-405775.42213100003</v>
      </c>
      <c r="F36" s="4">
        <v>-377906.29450100003</v>
      </c>
      <c r="G36" s="4">
        <v>-10.3</v>
      </c>
    </row>
    <row r="37" spans="1:7" ht="13" customHeight="1" x14ac:dyDescent="0.2">
      <c r="A37" s="21" t="s">
        <v>108</v>
      </c>
      <c r="B37" s="8">
        <v>-4116.8132020000003</v>
      </c>
      <c r="C37" s="8">
        <v>-14890.733109999999</v>
      </c>
      <c r="D37" s="8">
        <v>247.9</v>
      </c>
      <c r="E37" s="8">
        <v>2565.9952549999998</v>
      </c>
      <c r="F37" s="8">
        <v>3675.0656748000001</v>
      </c>
      <c r="G37" s="8">
        <v>38</v>
      </c>
    </row>
    <row r="38" spans="1:7" ht="13" customHeight="1" x14ac:dyDescent="0.2">
      <c r="A38" s="3" t="s">
        <v>109</v>
      </c>
      <c r="B38" s="4">
        <v>-198748.69130000001</v>
      </c>
      <c r="C38" s="4">
        <v>-111337.7847</v>
      </c>
      <c r="D38" s="4">
        <v>-46.1</v>
      </c>
      <c r="E38" s="4">
        <v>-403209.426882</v>
      </c>
      <c r="F38" s="4">
        <v>-374231.2288172</v>
      </c>
      <c r="G38" s="4">
        <v>-10.6</v>
      </c>
    </row>
    <row r="39" spans="1:7" ht="13" customHeight="1" x14ac:dyDescent="0.2">
      <c r="A39" s="21" t="s">
        <v>110</v>
      </c>
      <c r="B39" s="8">
        <v>-6797.8702059999996</v>
      </c>
      <c r="C39" s="8">
        <v>8592.8820379999997</v>
      </c>
      <c r="D39" s="16" t="s">
        <v>26</v>
      </c>
      <c r="E39" s="8">
        <v>97136.483004399997</v>
      </c>
      <c r="F39" s="8">
        <v>124098.08563099999</v>
      </c>
      <c r="G39" s="8">
        <v>23.1</v>
      </c>
    </row>
    <row r="40" spans="1:7" ht="13" customHeight="1" x14ac:dyDescent="0.2">
      <c r="A40" s="3" t="s">
        <v>111</v>
      </c>
      <c r="B40" s="4">
        <v>205546.56150000001</v>
      </c>
      <c r="C40" s="4">
        <v>102744.9026</v>
      </c>
      <c r="D40" s="4">
        <v>-51.9</v>
      </c>
      <c r="E40" s="4">
        <v>306072.943868</v>
      </c>
      <c r="F40" s="4">
        <v>250133.14315399999</v>
      </c>
      <c r="G40" s="4">
        <v>-21.3</v>
      </c>
    </row>
    <row r="41" spans="1:7" ht="13" customHeight="1" x14ac:dyDescent="0.2">
      <c r="A41" s="23" t="s">
        <v>54</v>
      </c>
      <c r="B41" s="16" t="s">
        <v>35</v>
      </c>
      <c r="C41" s="16" t="s">
        <v>35</v>
      </c>
      <c r="D41" s="16" t="s">
        <v>36</v>
      </c>
      <c r="E41" s="16" t="s">
        <v>35</v>
      </c>
      <c r="F41" s="16" t="s">
        <v>35</v>
      </c>
      <c r="G41" s="16" t="s">
        <v>36</v>
      </c>
    </row>
    <row r="42" spans="1:7" ht="12" customHeight="1" x14ac:dyDescent="0.2">
      <c r="A42" s="9" t="s">
        <v>19</v>
      </c>
      <c r="B42" s="4">
        <v>115967.39599999999</v>
      </c>
      <c r="C42" s="4">
        <v>147850.15599999999</v>
      </c>
      <c r="D42" s="4">
        <v>22.6</v>
      </c>
      <c r="E42" s="4">
        <v>1314439.5919999999</v>
      </c>
      <c r="F42" s="4">
        <v>1561751.5619999999</v>
      </c>
      <c r="G42" s="4">
        <v>14.5</v>
      </c>
    </row>
    <row r="43" spans="1:7" ht="12" customHeight="1" x14ac:dyDescent="0.2">
      <c r="A43" s="10" t="s">
        <v>59</v>
      </c>
      <c r="B43" s="8">
        <v>188398.288</v>
      </c>
      <c r="C43" s="8">
        <v>362976.13699999999</v>
      </c>
      <c r="D43" s="8">
        <v>85.3</v>
      </c>
      <c r="E43" s="8">
        <v>2200089.94</v>
      </c>
      <c r="F43" s="8">
        <v>2238664.054</v>
      </c>
      <c r="G43" s="8">
        <v>-2</v>
      </c>
    </row>
    <row r="44" spans="1:7" ht="12" customHeight="1" x14ac:dyDescent="0.2">
      <c r="A44" s="22"/>
    </row>
    <row r="45" spans="1:7" ht="40" customHeight="1" x14ac:dyDescent="0.2">
      <c r="A45" s="24" t="s">
        <v>61</v>
      </c>
      <c r="B45" s="25"/>
      <c r="C45" s="25"/>
      <c r="D45" s="25"/>
      <c r="E45" s="25"/>
      <c r="F45" s="25"/>
      <c r="G45" s="26"/>
    </row>
    <row r="46" spans="1:7" ht="40" customHeight="1" x14ac:dyDescent="0.2">
      <c r="A46" s="24" t="s">
        <v>112</v>
      </c>
      <c r="B46" s="25"/>
      <c r="C46" s="25"/>
      <c r="D46" s="25"/>
      <c r="E46" s="25"/>
      <c r="F46" s="25"/>
      <c r="G46" s="26"/>
    </row>
    <row r="47" spans="1:7" ht="40" customHeight="1" x14ac:dyDescent="0.2">
      <c r="A47" s="24" t="s">
        <v>65</v>
      </c>
      <c r="B47" s="25"/>
      <c r="C47" s="25"/>
      <c r="D47" s="25"/>
      <c r="E47" s="25"/>
      <c r="F47" s="25"/>
      <c r="G47" s="26"/>
    </row>
    <row r="48" spans="1:7" ht="40" customHeight="1" x14ac:dyDescent="0.2">
      <c r="A48" s="24" t="s">
        <v>113</v>
      </c>
      <c r="B48" s="25"/>
      <c r="C48" s="25"/>
      <c r="D48" s="25"/>
      <c r="E48" s="25"/>
      <c r="F48" s="25"/>
      <c r="G48" s="26"/>
    </row>
    <row r="49" spans="1:7" ht="40" customHeight="1" x14ac:dyDescent="0.2">
      <c r="A49" s="24" t="s">
        <v>114</v>
      </c>
      <c r="B49" s="25"/>
      <c r="C49" s="25"/>
      <c r="D49" s="25"/>
      <c r="E49" s="25"/>
      <c r="F49" s="25"/>
      <c r="G49" s="26"/>
    </row>
    <row r="50" spans="1:7" ht="24" customHeight="1" x14ac:dyDescent="0.2">
      <c r="A50" s="24" t="s">
        <v>115</v>
      </c>
      <c r="B50" s="25"/>
      <c r="C50" s="25"/>
      <c r="D50" s="25"/>
      <c r="E50" s="25"/>
      <c r="F50" s="25"/>
      <c r="G50" s="26"/>
    </row>
    <row r="51" spans="1:7" ht="40" customHeight="1" x14ac:dyDescent="0.2">
      <c r="A51" s="24" t="s">
        <v>116</v>
      </c>
      <c r="B51" s="25"/>
      <c r="C51" s="25"/>
      <c r="D51" s="25"/>
      <c r="E51" s="25"/>
      <c r="F51" s="25"/>
      <c r="G51" s="26"/>
    </row>
    <row r="52" spans="1:7" ht="40" customHeight="1" x14ac:dyDescent="0.2">
      <c r="A52" s="24" t="s">
        <v>117</v>
      </c>
      <c r="B52" s="25"/>
      <c r="C52" s="25"/>
      <c r="D52" s="25"/>
      <c r="E52" s="25"/>
      <c r="F52" s="25"/>
      <c r="G52" s="26"/>
    </row>
    <row r="53" spans="1:7" ht="40" customHeight="1" x14ac:dyDescent="0.2">
      <c r="A53" s="24" t="s">
        <v>118</v>
      </c>
      <c r="B53" s="25"/>
      <c r="C53" s="25"/>
      <c r="D53" s="25"/>
      <c r="E53" s="25"/>
      <c r="F53" s="25"/>
      <c r="G53" s="26"/>
    </row>
    <row r="54" spans="1:7" ht="40" customHeight="1" x14ac:dyDescent="0.2">
      <c r="A54" s="24" t="s">
        <v>119</v>
      </c>
      <c r="B54" s="25"/>
      <c r="C54" s="25"/>
      <c r="D54" s="25"/>
      <c r="E54" s="25"/>
      <c r="F54" s="25"/>
      <c r="G54" s="26"/>
    </row>
    <row r="55" spans="1:7" ht="24" customHeight="1" x14ac:dyDescent="0.2">
      <c r="A55" s="22" t="s">
        <v>62</v>
      </c>
    </row>
    <row r="56" spans="1:7" ht="15" customHeight="1" x14ac:dyDescent="0.2">
      <c r="A56" s="22" t="s">
        <v>64</v>
      </c>
    </row>
    <row r="57" spans="1:7" ht="15" customHeight="1" x14ac:dyDescent="0.2">
      <c r="A57" s="22" t="s">
        <v>69</v>
      </c>
    </row>
    <row r="58" spans="1:7" ht="15" customHeight="1" x14ac:dyDescent="0.2">
      <c r="A58" s="22" t="s">
        <v>66</v>
      </c>
    </row>
    <row r="59" spans="1:7" ht="15" customHeight="1" x14ac:dyDescent="0.2">
      <c r="A59" s="22" t="s">
        <v>72</v>
      </c>
    </row>
    <row r="60" spans="1:7" ht="15" customHeight="1" x14ac:dyDescent="0.2">
      <c r="A60" s="22" t="s">
        <v>68</v>
      </c>
    </row>
    <row r="61" spans="1:7" ht="40" customHeight="1" x14ac:dyDescent="0.2">
      <c r="A61" s="22" t="s">
        <v>71</v>
      </c>
    </row>
    <row r="62" spans="1:7" ht="40" customHeight="1" x14ac:dyDescent="0.2">
      <c r="A62" s="22" t="s">
        <v>73</v>
      </c>
    </row>
    <row r="63" spans="1:7" ht="40" customHeight="1" x14ac:dyDescent="0.2">
      <c r="A63" s="22" t="s">
        <v>74</v>
      </c>
    </row>
    <row r="64" spans="1:7" ht="15" customHeight="1" x14ac:dyDescent="0.2">
      <c r="A64" s="22" t="s">
        <v>75</v>
      </c>
    </row>
    <row r="65" spans="1:1" ht="40" customHeight="1" x14ac:dyDescent="0.2">
      <c r="A65" s="22" t="s">
        <v>76</v>
      </c>
    </row>
  </sheetData>
  <mergeCells count="14">
    <mergeCell ref="A46:G46"/>
    <mergeCell ref="A1:G1"/>
    <mergeCell ref="A2:A3"/>
    <mergeCell ref="B2:D2"/>
    <mergeCell ref="E2:G2"/>
    <mergeCell ref="A45:G45"/>
    <mergeCell ref="A53:G53"/>
    <mergeCell ref="A54:G54"/>
    <mergeCell ref="A47:G47"/>
    <mergeCell ref="A48:G48"/>
    <mergeCell ref="A49:G49"/>
    <mergeCell ref="A50:G50"/>
    <mergeCell ref="A51:G51"/>
    <mergeCell ref="A52:G52"/>
  </mergeCells>
  <printOptions horizontalCentered="1"/>
  <pageMargins left="0.5" right="0.5" top="0.5" bottom="0.8" header="0" footer="0.5"/>
  <pageSetup fitToHeight="32767" orientation="landscape" errors="blank" horizontalDpi="0"/>
  <headerFooter>
    <oddFooter>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DC042-7F19-864E-9C55-F687CDFC26F1}">
  <sheetPr>
    <pageSetUpPr fitToPage="1"/>
  </sheetPr>
  <dimension ref="A1:V270"/>
  <sheetViews>
    <sheetView showGridLines="0" workbookViewId="0">
      <selection activeCell="C13" sqref="C13"/>
    </sheetView>
  </sheetViews>
  <sheetFormatPr baseColWidth="10" defaultColWidth="8.33203125" defaultRowHeight="12" x14ac:dyDescent="0.2"/>
  <cols>
    <col min="1" max="1" width="50" style="34" bestFit="1" customWidth="1"/>
    <col min="2" max="4" width="16.6640625" style="34" bestFit="1" customWidth="1"/>
    <col min="5" max="6" width="8.33203125" style="34"/>
    <col min="7" max="7" width="34" style="34" customWidth="1"/>
    <col min="8" max="13" width="10.33203125" style="34" customWidth="1"/>
    <col min="14" max="15" width="8.33203125" style="34"/>
    <col min="16" max="16" width="35" style="34" customWidth="1"/>
    <col min="17" max="16384" width="8.33203125" style="34"/>
  </cols>
  <sheetData>
    <row r="1" spans="1:22" ht="50" customHeight="1" x14ac:dyDescent="0.2">
      <c r="A1" s="33" t="s">
        <v>120</v>
      </c>
      <c r="B1" s="33"/>
      <c r="C1" s="33"/>
      <c r="D1" s="33"/>
      <c r="G1" s="27" t="s">
        <v>141</v>
      </c>
      <c r="H1" s="27"/>
      <c r="I1" s="27"/>
      <c r="J1" s="27"/>
      <c r="K1" s="27"/>
      <c r="L1" s="27"/>
      <c r="M1" s="27"/>
      <c r="P1" s="27" t="s">
        <v>167</v>
      </c>
      <c r="Q1" s="27"/>
      <c r="R1" s="27"/>
      <c r="S1" s="27"/>
      <c r="T1" s="27"/>
      <c r="U1" s="27"/>
      <c r="V1" s="27"/>
    </row>
    <row r="2" spans="1:22" ht="24" x14ac:dyDescent="0.15">
      <c r="A2" s="35" t="s">
        <v>2</v>
      </c>
      <c r="B2" s="36" t="s">
        <v>3</v>
      </c>
      <c r="C2" s="36" t="s">
        <v>3</v>
      </c>
      <c r="D2" s="36" t="s">
        <v>3</v>
      </c>
      <c r="G2" s="28" t="s">
        <v>2</v>
      </c>
      <c r="H2" s="2" t="s">
        <v>142</v>
      </c>
      <c r="I2" s="30" t="s">
        <v>143</v>
      </c>
      <c r="J2" s="31"/>
      <c r="K2" s="31"/>
      <c r="L2" s="32"/>
      <c r="M2" s="2" t="s">
        <v>142</v>
      </c>
      <c r="P2" s="28" t="s">
        <v>2</v>
      </c>
      <c r="Q2" s="2" t="s">
        <v>142</v>
      </c>
      <c r="R2" s="30" t="s">
        <v>168</v>
      </c>
      <c r="S2" s="31"/>
      <c r="T2" s="31"/>
      <c r="U2" s="32"/>
      <c r="V2" s="2" t="s">
        <v>142</v>
      </c>
    </row>
    <row r="3" spans="1:22" ht="16" customHeight="1" x14ac:dyDescent="0.15">
      <c r="A3" s="37"/>
      <c r="B3" s="36" t="s">
        <v>121</v>
      </c>
      <c r="C3" s="36" t="s">
        <v>6</v>
      </c>
      <c r="D3" s="36" t="s">
        <v>7</v>
      </c>
      <c r="G3" s="29"/>
      <c r="H3" s="2" t="s">
        <v>6</v>
      </c>
      <c r="I3" s="2" t="s">
        <v>144</v>
      </c>
      <c r="J3" s="2" t="s">
        <v>145</v>
      </c>
      <c r="K3" s="2" t="s">
        <v>146</v>
      </c>
      <c r="L3" s="2" t="s">
        <v>147</v>
      </c>
      <c r="M3" s="2" t="s">
        <v>7</v>
      </c>
      <c r="P3" s="29"/>
      <c r="Q3" s="2" t="s">
        <v>6</v>
      </c>
      <c r="R3" s="2" t="s">
        <v>144</v>
      </c>
      <c r="S3" s="2" t="s">
        <v>145</v>
      </c>
      <c r="T3" s="2" t="s">
        <v>146</v>
      </c>
      <c r="U3" s="2" t="s">
        <v>147</v>
      </c>
      <c r="V3" s="2" t="s">
        <v>7</v>
      </c>
    </row>
    <row r="4" spans="1:22" ht="13" x14ac:dyDescent="0.2">
      <c r="A4" s="38" t="s">
        <v>122</v>
      </c>
      <c r="B4" s="39" t="s">
        <v>123</v>
      </c>
      <c r="C4" s="39" t="s">
        <v>123</v>
      </c>
      <c r="D4" s="39" t="s">
        <v>123</v>
      </c>
      <c r="G4" s="3" t="s">
        <v>148</v>
      </c>
      <c r="H4" s="4">
        <v>3769999.1</v>
      </c>
      <c r="I4" s="19" t="s">
        <v>35</v>
      </c>
      <c r="J4" s="19" t="s">
        <v>35</v>
      </c>
      <c r="K4" s="19" t="s">
        <v>35</v>
      </c>
      <c r="L4" s="19" t="s">
        <v>35</v>
      </c>
      <c r="M4" s="4">
        <v>4230924.9000000004</v>
      </c>
      <c r="P4" s="3" t="s">
        <v>169</v>
      </c>
      <c r="Q4" s="4">
        <v>121659</v>
      </c>
      <c r="R4" s="19" t="s">
        <v>35</v>
      </c>
      <c r="S4" s="19" t="s">
        <v>35</v>
      </c>
      <c r="T4" s="19" t="s">
        <v>35</v>
      </c>
      <c r="U4" s="19" t="s">
        <v>35</v>
      </c>
      <c r="V4" s="4">
        <v>130949.7</v>
      </c>
    </row>
    <row r="5" spans="1:22" ht="13" x14ac:dyDescent="0.2">
      <c r="A5" s="40" t="s">
        <v>124</v>
      </c>
      <c r="B5" s="41">
        <v>3258479.5</v>
      </c>
      <c r="C5" s="41">
        <v>3769999.1</v>
      </c>
      <c r="D5" s="41">
        <v>4230924.9000000004</v>
      </c>
      <c r="G5" s="21" t="s">
        <v>149</v>
      </c>
      <c r="H5" s="8">
        <v>91093.3</v>
      </c>
      <c r="I5" s="16" t="s">
        <v>35</v>
      </c>
      <c r="J5" s="16" t="s">
        <v>35</v>
      </c>
      <c r="K5" s="16" t="s">
        <v>35</v>
      </c>
      <c r="L5" s="16" t="s">
        <v>35</v>
      </c>
      <c r="M5" s="8">
        <v>177953.6</v>
      </c>
      <c r="P5" s="21" t="s">
        <v>170</v>
      </c>
      <c r="Q5" s="8">
        <v>4067</v>
      </c>
      <c r="R5" s="16" t="s">
        <v>35</v>
      </c>
      <c r="S5" s="16" t="s">
        <v>35</v>
      </c>
      <c r="T5" s="16" t="s">
        <v>35</v>
      </c>
      <c r="U5" s="16" t="s">
        <v>35</v>
      </c>
      <c r="V5" s="8">
        <v>3486.2</v>
      </c>
    </row>
    <row r="6" spans="1:22" ht="13" x14ac:dyDescent="0.2">
      <c r="A6" s="42" t="s">
        <v>125</v>
      </c>
      <c r="B6" s="43">
        <v>3446808.6</v>
      </c>
      <c r="C6" s="43">
        <v>3861092.4</v>
      </c>
      <c r="D6" s="43">
        <v>4408878.5</v>
      </c>
      <c r="G6" s="3" t="s">
        <v>150</v>
      </c>
      <c r="H6" s="4">
        <v>3861092.4</v>
      </c>
      <c r="I6" s="4">
        <v>2652394.5</v>
      </c>
      <c r="J6" s="4">
        <v>2152616.2000000002</v>
      </c>
      <c r="K6" s="4">
        <v>499778.3</v>
      </c>
      <c r="L6" s="4">
        <v>48007.8</v>
      </c>
      <c r="M6" s="4">
        <v>4408878.5</v>
      </c>
      <c r="P6" s="3" t="s">
        <v>171</v>
      </c>
      <c r="Q6" s="4">
        <v>125726</v>
      </c>
      <c r="R6" s="4">
        <v>38506.699999999997</v>
      </c>
      <c r="S6" s="4">
        <v>29560</v>
      </c>
      <c r="T6" s="4">
        <v>8946.7000000000007</v>
      </c>
      <c r="U6" s="4">
        <v>-236.8</v>
      </c>
      <c r="V6" s="4">
        <v>134435.9</v>
      </c>
    </row>
    <row r="7" spans="1:22" ht="13" x14ac:dyDescent="0.2">
      <c r="A7" s="44" t="s">
        <v>126</v>
      </c>
      <c r="B7" s="45" t="s">
        <v>123</v>
      </c>
      <c r="C7" s="45" t="s">
        <v>123</v>
      </c>
      <c r="D7" s="45" t="s">
        <v>123</v>
      </c>
      <c r="G7" s="21" t="s">
        <v>151</v>
      </c>
      <c r="H7" s="8">
        <v>3861092.4</v>
      </c>
      <c r="I7" s="8">
        <v>2652394.5</v>
      </c>
      <c r="J7" s="8">
        <v>2152616.2000000002</v>
      </c>
      <c r="K7" s="8">
        <v>499778.3</v>
      </c>
      <c r="L7" s="8">
        <v>48007.8</v>
      </c>
      <c r="M7" s="8">
        <v>4408878.5</v>
      </c>
      <c r="P7" s="21" t="s">
        <v>151</v>
      </c>
      <c r="Q7" s="8">
        <v>125726</v>
      </c>
      <c r="R7" s="8">
        <v>38506.699999999997</v>
      </c>
      <c r="S7" s="8">
        <v>29560</v>
      </c>
      <c r="T7" s="8">
        <v>8946.7000000000007</v>
      </c>
      <c r="U7" s="8">
        <v>-236.8</v>
      </c>
      <c r="V7" s="8">
        <v>134435.9</v>
      </c>
    </row>
    <row r="8" spans="1:22" ht="13" x14ac:dyDescent="0.2">
      <c r="A8" s="42" t="s">
        <v>127</v>
      </c>
      <c r="B8" s="43">
        <v>113631.6</v>
      </c>
      <c r="C8" s="43">
        <v>121659</v>
      </c>
      <c r="D8" s="43">
        <v>130949.7</v>
      </c>
      <c r="G8" s="12" t="s">
        <v>152</v>
      </c>
      <c r="H8" s="4">
        <v>3457336.9</v>
      </c>
      <c r="I8" s="4">
        <v>1117841.2</v>
      </c>
      <c r="J8" s="4">
        <v>701590.8</v>
      </c>
      <c r="K8" s="4">
        <v>416250.4</v>
      </c>
      <c r="L8" s="4">
        <v>48004.4</v>
      </c>
      <c r="M8" s="4">
        <v>3921591.7</v>
      </c>
      <c r="P8" s="12" t="s">
        <v>152</v>
      </c>
      <c r="Q8" s="4">
        <v>122601.4</v>
      </c>
      <c r="R8" s="4">
        <v>23620.400000000001</v>
      </c>
      <c r="S8" s="4">
        <v>15073.1</v>
      </c>
      <c r="T8" s="4">
        <v>8547.2999999999993</v>
      </c>
      <c r="U8" s="4">
        <v>-240</v>
      </c>
      <c r="V8" s="4">
        <v>130908.7</v>
      </c>
    </row>
    <row r="9" spans="1:22" ht="13" x14ac:dyDescent="0.2">
      <c r="A9" s="40" t="s">
        <v>128</v>
      </c>
      <c r="B9" s="41">
        <v>116420.2</v>
      </c>
      <c r="C9" s="41">
        <v>125726</v>
      </c>
      <c r="D9" s="41">
        <v>134435.9</v>
      </c>
      <c r="G9" s="7" t="s">
        <v>153</v>
      </c>
      <c r="H9" s="8">
        <v>403755.5</v>
      </c>
      <c r="I9" s="8">
        <v>1534553.3</v>
      </c>
      <c r="J9" s="8">
        <v>1451025.4</v>
      </c>
      <c r="K9" s="8">
        <v>83527.899999999994</v>
      </c>
      <c r="L9" s="8">
        <v>3.4</v>
      </c>
      <c r="M9" s="8">
        <v>487286.8</v>
      </c>
      <c r="P9" s="7" t="s">
        <v>153</v>
      </c>
      <c r="Q9" s="8">
        <v>3124.6</v>
      </c>
      <c r="R9" s="8">
        <v>14886.3</v>
      </c>
      <c r="S9" s="8">
        <v>14486.9</v>
      </c>
      <c r="T9" s="8">
        <v>399.4</v>
      </c>
      <c r="U9" s="8">
        <v>3.2</v>
      </c>
      <c r="V9" s="8">
        <v>3527.2</v>
      </c>
    </row>
    <row r="10" spans="1:22" ht="13" x14ac:dyDescent="0.2">
      <c r="A10" s="38" t="s">
        <v>129</v>
      </c>
      <c r="B10" s="39" t="s">
        <v>123</v>
      </c>
      <c r="C10" s="39" t="s">
        <v>123</v>
      </c>
      <c r="D10" s="39" t="s">
        <v>123</v>
      </c>
      <c r="G10" s="3" t="s">
        <v>154</v>
      </c>
      <c r="H10" s="4">
        <v>3861092.4</v>
      </c>
      <c r="I10" s="4">
        <v>2652394.5</v>
      </c>
      <c r="J10" s="4">
        <v>2152616.2000000002</v>
      </c>
      <c r="K10" s="4">
        <v>499778.3</v>
      </c>
      <c r="L10" s="4">
        <v>48007.8</v>
      </c>
      <c r="M10" s="4">
        <v>4408878.5</v>
      </c>
      <c r="P10" s="3" t="s">
        <v>154</v>
      </c>
      <c r="Q10" s="4">
        <v>125726</v>
      </c>
      <c r="R10" s="4">
        <v>38506.699999999997</v>
      </c>
      <c r="S10" s="4">
        <v>29560</v>
      </c>
      <c r="T10" s="4">
        <v>8946.7000000000007</v>
      </c>
      <c r="U10" s="4">
        <v>-236.8</v>
      </c>
      <c r="V10" s="4">
        <v>134435.9</v>
      </c>
    </row>
    <row r="11" spans="1:22" ht="13" x14ac:dyDescent="0.2">
      <c r="A11" s="40" t="s">
        <v>130</v>
      </c>
      <c r="B11" s="41">
        <v>4848230.9369999999</v>
      </c>
      <c r="C11" s="41">
        <v>5352794.6560000004</v>
      </c>
      <c r="D11" s="41">
        <v>5943287.9519999996</v>
      </c>
      <c r="F11" s="47"/>
      <c r="G11" s="7" t="s">
        <v>12</v>
      </c>
      <c r="H11" s="8">
        <v>3575318.6</v>
      </c>
      <c r="I11" s="8">
        <v>2447215.5</v>
      </c>
      <c r="J11" s="8">
        <v>2005663</v>
      </c>
      <c r="K11" s="8">
        <v>441552.5</v>
      </c>
      <c r="L11" s="8">
        <v>46313.3</v>
      </c>
      <c r="M11" s="8">
        <v>4063184.4</v>
      </c>
      <c r="P11" s="7" t="s">
        <v>12</v>
      </c>
      <c r="Q11" s="8">
        <v>67460.5</v>
      </c>
      <c r="R11" s="8">
        <v>11028.7</v>
      </c>
      <c r="S11" s="8">
        <v>6116.6</v>
      </c>
      <c r="T11" s="8">
        <v>4912.1000000000004</v>
      </c>
      <c r="U11" s="8">
        <v>-192.2</v>
      </c>
      <c r="V11" s="8">
        <v>72180.399999999994</v>
      </c>
    </row>
    <row r="12" spans="1:22" ht="13" x14ac:dyDescent="0.2">
      <c r="A12" s="42" t="s">
        <v>131</v>
      </c>
      <c r="B12" s="43">
        <v>346539.84399999998</v>
      </c>
      <c r="C12" s="43">
        <v>411433.79800000001</v>
      </c>
      <c r="D12" s="43">
        <v>454501.38400000002</v>
      </c>
      <c r="G12" s="9" t="s">
        <v>152</v>
      </c>
      <c r="H12" s="4">
        <v>3178613.6</v>
      </c>
      <c r="I12" s="4">
        <v>1017341.8</v>
      </c>
      <c r="J12" s="4">
        <v>659717.19999999995</v>
      </c>
      <c r="K12" s="4">
        <v>357624.6</v>
      </c>
      <c r="L12" s="4">
        <v>46313.2</v>
      </c>
      <c r="M12" s="4">
        <v>3582551.4</v>
      </c>
      <c r="P12" s="9" t="s">
        <v>152</v>
      </c>
      <c r="Q12" s="4">
        <v>67460.5</v>
      </c>
      <c r="R12" s="4">
        <v>11028.7</v>
      </c>
      <c r="S12" s="4">
        <v>6116.6</v>
      </c>
      <c r="T12" s="4">
        <v>4912.1000000000004</v>
      </c>
      <c r="U12" s="4">
        <v>-192.2</v>
      </c>
      <c r="V12" s="4">
        <v>72180.399999999994</v>
      </c>
    </row>
    <row r="13" spans="1:22" ht="13" x14ac:dyDescent="0.2">
      <c r="A13" s="40" t="s">
        <v>132</v>
      </c>
      <c r="B13" s="41">
        <v>5075573.7659999998</v>
      </c>
      <c r="C13" s="41">
        <v>5496800.233</v>
      </c>
      <c r="D13" s="41">
        <v>6166829.5460000001</v>
      </c>
      <c r="G13" s="10" t="s">
        <v>153</v>
      </c>
      <c r="H13" s="8">
        <v>396705</v>
      </c>
      <c r="I13" s="8">
        <v>1429873.7</v>
      </c>
      <c r="J13" s="8">
        <v>1345945.8</v>
      </c>
      <c r="K13" s="8">
        <v>83927.9</v>
      </c>
      <c r="L13" s="8">
        <v>0.1</v>
      </c>
      <c r="M13" s="8">
        <v>480633</v>
      </c>
      <c r="P13" s="10" t="s">
        <v>153</v>
      </c>
      <c r="Q13" s="8">
        <v>0</v>
      </c>
      <c r="R13" s="8">
        <v>0</v>
      </c>
      <c r="S13" s="8">
        <v>0</v>
      </c>
      <c r="T13" s="8">
        <v>0</v>
      </c>
      <c r="U13" s="8">
        <v>0</v>
      </c>
      <c r="V13" s="8">
        <v>0</v>
      </c>
    </row>
    <row r="14" spans="1:22" ht="13" x14ac:dyDescent="0.2">
      <c r="A14" s="42" t="s">
        <v>133</v>
      </c>
      <c r="B14" s="43">
        <v>362789.75300000003</v>
      </c>
      <c r="C14" s="43">
        <v>422502.53499999997</v>
      </c>
      <c r="D14" s="43">
        <v>471596.34</v>
      </c>
      <c r="G14" s="12" t="s">
        <v>155</v>
      </c>
      <c r="H14" s="4">
        <v>223342.6</v>
      </c>
      <c r="I14" s="4">
        <v>84580.6</v>
      </c>
      <c r="J14" s="4">
        <v>42268.1</v>
      </c>
      <c r="K14" s="4">
        <v>42312.5</v>
      </c>
      <c r="L14" s="4">
        <v>1635.1</v>
      </c>
      <c r="M14" s="4">
        <v>267290.2</v>
      </c>
      <c r="P14" s="12" t="s">
        <v>172</v>
      </c>
      <c r="Q14" s="4">
        <v>50064</v>
      </c>
      <c r="R14" s="4">
        <v>12218</v>
      </c>
      <c r="S14" s="4">
        <v>8795.4</v>
      </c>
      <c r="T14" s="4">
        <v>3422.6</v>
      </c>
      <c r="U14" s="4">
        <v>-128.5</v>
      </c>
      <c r="V14" s="4">
        <v>53358.1</v>
      </c>
    </row>
    <row r="15" spans="1:22" x14ac:dyDescent="0.2">
      <c r="A15" s="46"/>
      <c r="D15" s="47">
        <f>D13-C13</f>
        <v>670029.31300000008</v>
      </c>
      <c r="G15" s="10" t="s">
        <v>152</v>
      </c>
      <c r="H15" s="8">
        <v>218342.6</v>
      </c>
      <c r="I15" s="8">
        <v>78000</v>
      </c>
      <c r="J15" s="8">
        <v>30687.5</v>
      </c>
      <c r="K15" s="8">
        <v>47312.5</v>
      </c>
      <c r="L15" s="8">
        <v>1635.1</v>
      </c>
      <c r="M15" s="8">
        <v>267290.2</v>
      </c>
      <c r="P15" s="10" t="s">
        <v>152</v>
      </c>
      <c r="Q15" s="8">
        <v>50064</v>
      </c>
      <c r="R15" s="8">
        <v>11954.2</v>
      </c>
      <c r="S15" s="8">
        <v>8531.6</v>
      </c>
      <c r="T15" s="8">
        <v>3422.6</v>
      </c>
      <c r="U15" s="8">
        <v>-128.5</v>
      </c>
      <c r="V15" s="8">
        <v>53358.1</v>
      </c>
    </row>
    <row r="16" spans="1:22" ht="15" customHeight="1" x14ac:dyDescent="0.2">
      <c r="A16" s="46" t="s">
        <v>64</v>
      </c>
      <c r="G16" s="9" t="s">
        <v>153</v>
      </c>
      <c r="H16" s="4">
        <v>5000</v>
      </c>
      <c r="I16" s="4">
        <v>6580.6</v>
      </c>
      <c r="J16" s="4">
        <v>11580.6</v>
      </c>
      <c r="K16" s="4">
        <v>-5000</v>
      </c>
      <c r="L16" s="4">
        <v>0</v>
      </c>
      <c r="M16" s="4">
        <v>0</v>
      </c>
      <c r="P16" s="9" t="s">
        <v>153</v>
      </c>
      <c r="Q16" s="4">
        <v>0</v>
      </c>
      <c r="R16" s="4">
        <v>263.8</v>
      </c>
      <c r="S16" s="4">
        <v>263.8</v>
      </c>
      <c r="T16" s="4">
        <v>0</v>
      </c>
      <c r="U16" s="4">
        <v>0</v>
      </c>
      <c r="V16" s="4">
        <v>0</v>
      </c>
    </row>
    <row r="17" spans="1:22" ht="40" customHeight="1" x14ac:dyDescent="0.2">
      <c r="A17" s="46" t="s">
        <v>134</v>
      </c>
      <c r="G17" s="7" t="s">
        <v>156</v>
      </c>
      <c r="H17" s="8">
        <v>62431.199999999997</v>
      </c>
      <c r="I17" s="8">
        <v>120598.39999999999</v>
      </c>
      <c r="J17" s="8">
        <v>104685.1</v>
      </c>
      <c r="K17" s="8">
        <v>15913.3</v>
      </c>
      <c r="L17" s="8">
        <v>59.4</v>
      </c>
      <c r="M17" s="8">
        <v>78403.899999999994</v>
      </c>
      <c r="P17" s="7" t="s">
        <v>156</v>
      </c>
      <c r="Q17" s="8">
        <v>8201.5</v>
      </c>
      <c r="R17" s="8">
        <v>15260</v>
      </c>
      <c r="S17" s="8">
        <v>14648</v>
      </c>
      <c r="T17" s="8">
        <v>612</v>
      </c>
      <c r="U17" s="8">
        <v>83.9</v>
      </c>
      <c r="V17" s="8">
        <v>8897.4</v>
      </c>
    </row>
    <row r="18" spans="1:22" ht="15" customHeight="1" x14ac:dyDescent="0.2">
      <c r="A18" s="46" t="s">
        <v>69</v>
      </c>
      <c r="G18" s="9" t="s">
        <v>152</v>
      </c>
      <c r="H18" s="4">
        <v>60380.7</v>
      </c>
      <c r="I18" s="4">
        <v>22499.4</v>
      </c>
      <c r="J18" s="4">
        <v>11186.1</v>
      </c>
      <c r="K18" s="4">
        <v>11313.3</v>
      </c>
      <c r="L18" s="4">
        <v>56.1</v>
      </c>
      <c r="M18" s="4">
        <v>71750.100000000006</v>
      </c>
      <c r="P18" s="9" t="s">
        <v>152</v>
      </c>
      <c r="Q18" s="4">
        <v>5076.8999999999996</v>
      </c>
      <c r="R18" s="4">
        <v>637.5</v>
      </c>
      <c r="S18" s="4">
        <v>424.9</v>
      </c>
      <c r="T18" s="4">
        <v>212.6</v>
      </c>
      <c r="U18" s="4">
        <v>80.7</v>
      </c>
      <c r="V18" s="4">
        <v>5370.2</v>
      </c>
    </row>
    <row r="19" spans="1:22" ht="15" customHeight="1" x14ac:dyDescent="0.2">
      <c r="A19" s="46" t="s">
        <v>66</v>
      </c>
      <c r="G19" s="10" t="s">
        <v>153</v>
      </c>
      <c r="H19" s="8">
        <v>2050.5</v>
      </c>
      <c r="I19" s="8">
        <v>98099</v>
      </c>
      <c r="J19" s="8">
        <v>93499</v>
      </c>
      <c r="K19" s="8">
        <v>4600</v>
      </c>
      <c r="L19" s="8">
        <v>3.3</v>
      </c>
      <c r="M19" s="8">
        <v>6653.8</v>
      </c>
      <c r="P19" s="10" t="s">
        <v>153</v>
      </c>
      <c r="Q19" s="8">
        <v>3124.6</v>
      </c>
      <c r="R19" s="8">
        <v>14622.5</v>
      </c>
      <c r="S19" s="8">
        <v>14223.1</v>
      </c>
      <c r="T19" s="8">
        <v>399.4</v>
      </c>
      <c r="U19" s="8">
        <v>3.2</v>
      </c>
      <c r="V19" s="8">
        <v>3527.2</v>
      </c>
    </row>
    <row r="20" spans="1:22" ht="15" customHeight="1" x14ac:dyDescent="0.2">
      <c r="A20" s="46" t="s">
        <v>135</v>
      </c>
      <c r="G20" s="3" t="s">
        <v>157</v>
      </c>
      <c r="H20" s="4">
        <v>3861092.4</v>
      </c>
      <c r="I20" s="4">
        <v>2652394.5</v>
      </c>
      <c r="J20" s="4">
        <v>2152616.2000000002</v>
      </c>
      <c r="K20" s="4">
        <v>499778.3</v>
      </c>
      <c r="L20" s="4">
        <v>48007.8</v>
      </c>
      <c r="M20" s="4">
        <v>4408878.5</v>
      </c>
      <c r="P20" s="3" t="s">
        <v>157</v>
      </c>
      <c r="Q20" s="4">
        <v>125726</v>
      </c>
      <c r="R20" s="4">
        <v>38506.699999999997</v>
      </c>
      <c r="S20" s="4">
        <v>29560</v>
      </c>
      <c r="T20" s="4">
        <v>8946.7000000000007</v>
      </c>
      <c r="U20" s="4">
        <v>-236.8</v>
      </c>
      <c r="V20" s="4">
        <v>134435.9</v>
      </c>
    </row>
    <row r="21" spans="1:22" ht="15" customHeight="1" x14ac:dyDescent="0.2">
      <c r="A21" s="46" t="s">
        <v>136</v>
      </c>
      <c r="G21" s="7" t="s">
        <v>158</v>
      </c>
      <c r="H21" s="8">
        <v>3485997</v>
      </c>
      <c r="I21" s="8">
        <v>2345058.9</v>
      </c>
      <c r="J21" s="8">
        <v>1853185</v>
      </c>
      <c r="K21" s="8">
        <v>491873.9</v>
      </c>
      <c r="L21" s="8">
        <v>35876.199999999997</v>
      </c>
      <c r="M21" s="8">
        <v>4013747.1</v>
      </c>
      <c r="P21" s="7" t="s">
        <v>173</v>
      </c>
      <c r="Q21" s="8">
        <v>0</v>
      </c>
      <c r="R21" s="8">
        <v>0</v>
      </c>
      <c r="S21" s="8">
        <v>0</v>
      </c>
      <c r="T21" s="8">
        <v>0</v>
      </c>
      <c r="U21" s="8">
        <v>0</v>
      </c>
      <c r="V21" s="8">
        <v>0</v>
      </c>
    </row>
    <row r="22" spans="1:22" ht="40" customHeight="1" x14ac:dyDescent="0.2">
      <c r="A22" s="46" t="s">
        <v>71</v>
      </c>
      <c r="G22" s="12" t="s">
        <v>159</v>
      </c>
      <c r="H22" s="4">
        <v>85523.199999999997</v>
      </c>
      <c r="I22" s="4">
        <v>164373.1</v>
      </c>
      <c r="J22" s="4">
        <v>153390.5</v>
      </c>
      <c r="K22" s="4">
        <v>10982.6</v>
      </c>
      <c r="L22" s="4">
        <v>3414.3</v>
      </c>
      <c r="M22" s="4">
        <v>99920.1</v>
      </c>
      <c r="P22" s="9" t="s">
        <v>174</v>
      </c>
      <c r="Q22" s="4">
        <v>0</v>
      </c>
      <c r="R22" s="4">
        <v>0</v>
      </c>
      <c r="S22" s="4">
        <v>0</v>
      </c>
      <c r="T22" s="4">
        <v>0</v>
      </c>
      <c r="U22" s="4">
        <v>0</v>
      </c>
      <c r="V22" s="4">
        <v>0</v>
      </c>
    </row>
    <row r="23" spans="1:22" ht="15" customHeight="1" x14ac:dyDescent="0.2">
      <c r="A23" s="46" t="s">
        <v>137</v>
      </c>
      <c r="G23" s="7" t="s">
        <v>160</v>
      </c>
      <c r="H23" s="8">
        <v>46873.599999999999</v>
      </c>
      <c r="I23" s="8">
        <v>26503.5</v>
      </c>
      <c r="J23" s="8">
        <v>23281.9</v>
      </c>
      <c r="K23" s="8">
        <v>3221.6</v>
      </c>
      <c r="L23" s="8">
        <v>6.6</v>
      </c>
      <c r="M23" s="8">
        <v>50101.8</v>
      </c>
      <c r="P23" s="10" t="s">
        <v>175</v>
      </c>
      <c r="Q23" s="8">
        <v>0</v>
      </c>
      <c r="R23" s="8">
        <v>0</v>
      </c>
      <c r="S23" s="8">
        <v>0</v>
      </c>
      <c r="T23" s="8">
        <v>0</v>
      </c>
      <c r="U23" s="8">
        <v>0</v>
      </c>
      <c r="V23" s="8">
        <v>0</v>
      </c>
    </row>
    <row r="24" spans="1:22" ht="24" customHeight="1" x14ac:dyDescent="0.2">
      <c r="A24" s="46" t="s">
        <v>138</v>
      </c>
      <c r="G24" s="12" t="s">
        <v>161</v>
      </c>
      <c r="H24" s="4">
        <v>168993.9</v>
      </c>
      <c r="I24" s="4">
        <v>9425</v>
      </c>
      <c r="J24" s="4">
        <v>18628.2</v>
      </c>
      <c r="K24" s="4">
        <v>-9203.2000000000007</v>
      </c>
      <c r="L24" s="4">
        <v>5715.6</v>
      </c>
      <c r="M24" s="4">
        <v>165506.29999999999</v>
      </c>
      <c r="P24" s="9" t="s">
        <v>176</v>
      </c>
      <c r="Q24" s="4">
        <v>0</v>
      </c>
      <c r="R24" s="4">
        <v>0</v>
      </c>
      <c r="S24" s="4">
        <v>0</v>
      </c>
      <c r="T24" s="4">
        <v>0</v>
      </c>
      <c r="U24" s="4">
        <v>0</v>
      </c>
      <c r="V24" s="4">
        <v>0</v>
      </c>
    </row>
    <row r="25" spans="1:22" ht="40" customHeight="1" x14ac:dyDescent="0.2">
      <c r="A25" s="46" t="s">
        <v>139</v>
      </c>
      <c r="G25" s="7" t="s">
        <v>162</v>
      </c>
      <c r="H25" s="16" t="s">
        <v>35</v>
      </c>
      <c r="I25" s="16" t="s">
        <v>35</v>
      </c>
      <c r="J25" s="16" t="s">
        <v>35</v>
      </c>
      <c r="K25" s="16" t="s">
        <v>35</v>
      </c>
      <c r="L25" s="16" t="s">
        <v>35</v>
      </c>
      <c r="M25" s="16" t="s">
        <v>35</v>
      </c>
      <c r="P25" s="10" t="s">
        <v>177</v>
      </c>
      <c r="Q25" s="8">
        <v>0</v>
      </c>
      <c r="R25" s="8">
        <v>0</v>
      </c>
      <c r="S25" s="8">
        <v>0</v>
      </c>
      <c r="T25" s="8">
        <v>0</v>
      </c>
      <c r="U25" s="8">
        <v>0</v>
      </c>
      <c r="V25" s="8">
        <v>0</v>
      </c>
    </row>
    <row r="26" spans="1:22" ht="15" customHeight="1" x14ac:dyDescent="0.2">
      <c r="A26" s="46" t="s">
        <v>123</v>
      </c>
      <c r="G26" s="12" t="s">
        <v>163</v>
      </c>
      <c r="H26" s="19" t="s">
        <v>35</v>
      </c>
      <c r="I26" s="19" t="s">
        <v>35</v>
      </c>
      <c r="J26" s="19" t="s">
        <v>35</v>
      </c>
      <c r="K26" s="19" t="s">
        <v>35</v>
      </c>
      <c r="L26" s="19" t="s">
        <v>35</v>
      </c>
      <c r="M26" s="19" t="s">
        <v>35</v>
      </c>
      <c r="P26" s="12" t="s">
        <v>178</v>
      </c>
      <c r="Q26" s="4">
        <v>0</v>
      </c>
      <c r="R26" s="4">
        <v>0</v>
      </c>
      <c r="S26" s="4">
        <v>0</v>
      </c>
      <c r="T26" s="4">
        <v>0</v>
      </c>
      <c r="U26" s="4">
        <v>0</v>
      </c>
      <c r="V26" s="4">
        <v>0</v>
      </c>
    </row>
    <row r="27" spans="1:22" ht="15" customHeight="1" x14ac:dyDescent="0.2">
      <c r="A27" s="46" t="s">
        <v>75</v>
      </c>
      <c r="G27" s="7" t="s">
        <v>45</v>
      </c>
      <c r="H27" s="8">
        <v>73704.7</v>
      </c>
      <c r="I27" s="8">
        <v>107034</v>
      </c>
      <c r="J27" s="8">
        <v>104130.6</v>
      </c>
      <c r="K27" s="8">
        <v>2903.4</v>
      </c>
      <c r="L27" s="8">
        <v>2995.1</v>
      </c>
      <c r="M27" s="8">
        <v>79603.199999999997</v>
      </c>
      <c r="P27" s="7" t="s">
        <v>179</v>
      </c>
      <c r="Q27" s="8">
        <v>8394.7999999999993</v>
      </c>
      <c r="R27" s="8">
        <v>16537.7</v>
      </c>
      <c r="S27" s="8">
        <v>18714.400000000001</v>
      </c>
      <c r="T27" s="8">
        <v>-2176.6999999999998</v>
      </c>
      <c r="U27" s="8">
        <v>-40</v>
      </c>
      <c r="V27" s="8">
        <v>6178.1</v>
      </c>
    </row>
    <row r="28" spans="1:22" ht="24" customHeight="1" x14ac:dyDescent="0.2">
      <c r="A28" s="46" t="s">
        <v>140</v>
      </c>
      <c r="G28" s="22"/>
      <c r="H28" s="1"/>
      <c r="I28" s="1"/>
      <c r="J28" s="1"/>
      <c r="K28" s="1"/>
      <c r="L28" s="1"/>
      <c r="M28" s="1"/>
      <c r="P28" s="12" t="s">
        <v>180</v>
      </c>
      <c r="Q28" s="4">
        <v>0</v>
      </c>
      <c r="R28" s="4">
        <v>0</v>
      </c>
      <c r="S28" s="4">
        <v>0</v>
      </c>
      <c r="T28" s="4">
        <v>0</v>
      </c>
      <c r="U28" s="4">
        <v>0</v>
      </c>
      <c r="V28" s="4">
        <v>0</v>
      </c>
    </row>
    <row r="29" spans="1:22" x14ac:dyDescent="0.2">
      <c r="G29" s="24" t="s">
        <v>164</v>
      </c>
      <c r="H29" s="25"/>
      <c r="I29" s="25"/>
      <c r="J29" s="25"/>
      <c r="K29" s="25"/>
      <c r="L29" s="25"/>
      <c r="M29" s="26"/>
      <c r="P29" s="7" t="s">
        <v>181</v>
      </c>
      <c r="Q29" s="8">
        <v>12311.9</v>
      </c>
      <c r="R29" s="8">
        <v>869.7</v>
      </c>
      <c r="S29" s="8">
        <v>2784.7</v>
      </c>
      <c r="T29" s="8">
        <v>-1915</v>
      </c>
      <c r="U29" s="8">
        <v>-75.599999999999994</v>
      </c>
      <c r="V29" s="8">
        <v>10321.299999999999</v>
      </c>
    </row>
    <row r="30" spans="1:22" x14ac:dyDescent="0.2">
      <c r="G30" s="24" t="s">
        <v>165</v>
      </c>
      <c r="H30" s="25"/>
      <c r="I30" s="25"/>
      <c r="J30" s="25"/>
      <c r="K30" s="25"/>
      <c r="L30" s="25"/>
      <c r="M30" s="26"/>
      <c r="P30" s="12" t="s">
        <v>182</v>
      </c>
      <c r="Q30" s="4">
        <v>79393.5</v>
      </c>
      <c r="R30" s="4">
        <v>17950.900000000001</v>
      </c>
      <c r="S30" s="4">
        <v>6767.4</v>
      </c>
      <c r="T30" s="4">
        <v>11183.5</v>
      </c>
      <c r="U30" s="4">
        <v>-275.3</v>
      </c>
      <c r="V30" s="4">
        <v>90301.7</v>
      </c>
    </row>
    <row r="31" spans="1:22" x14ac:dyDescent="0.2">
      <c r="G31" s="24" t="s">
        <v>166</v>
      </c>
      <c r="H31" s="25"/>
      <c r="I31" s="25"/>
      <c r="J31" s="25"/>
      <c r="K31" s="25"/>
      <c r="L31" s="25"/>
      <c r="M31" s="26"/>
      <c r="P31" s="7" t="s">
        <v>183</v>
      </c>
      <c r="Q31" s="8">
        <v>25309.4</v>
      </c>
      <c r="R31" s="8">
        <v>2884.6</v>
      </c>
      <c r="S31" s="8">
        <v>1029.7</v>
      </c>
      <c r="T31" s="8">
        <v>1854.9</v>
      </c>
      <c r="U31" s="8">
        <v>185.8</v>
      </c>
      <c r="V31" s="8">
        <v>27350.1</v>
      </c>
    </row>
    <row r="32" spans="1:22" x14ac:dyDescent="0.2">
      <c r="G32" s="22" t="s">
        <v>64</v>
      </c>
      <c r="H32" s="1"/>
      <c r="I32" s="1"/>
      <c r="J32" s="1"/>
      <c r="K32" s="1"/>
      <c r="L32" s="1"/>
      <c r="M32" s="1"/>
      <c r="P32" s="12" t="s">
        <v>184</v>
      </c>
      <c r="Q32" s="4">
        <v>0</v>
      </c>
      <c r="R32" s="4">
        <v>0</v>
      </c>
      <c r="S32" s="4">
        <v>0</v>
      </c>
      <c r="T32" s="4">
        <v>0</v>
      </c>
      <c r="U32" s="4">
        <v>0</v>
      </c>
      <c r="V32" s="4">
        <v>0</v>
      </c>
    </row>
    <row r="33" spans="7:22" ht="48" x14ac:dyDescent="0.2">
      <c r="G33" s="22" t="s">
        <v>134</v>
      </c>
      <c r="H33" s="1"/>
      <c r="I33" s="1"/>
      <c r="J33" s="1"/>
      <c r="K33" s="1"/>
      <c r="L33" s="1"/>
      <c r="M33" s="1"/>
      <c r="P33" s="7" t="s">
        <v>185</v>
      </c>
      <c r="Q33" s="8">
        <v>0</v>
      </c>
      <c r="R33" s="8">
        <v>0</v>
      </c>
      <c r="S33" s="8">
        <v>0</v>
      </c>
      <c r="T33" s="8">
        <v>0</v>
      </c>
      <c r="U33" s="8">
        <v>0</v>
      </c>
      <c r="V33" s="8">
        <v>0</v>
      </c>
    </row>
    <row r="34" spans="7:22" x14ac:dyDescent="0.2">
      <c r="G34" s="22" t="s">
        <v>69</v>
      </c>
      <c r="H34" s="1"/>
      <c r="I34" s="1"/>
      <c r="J34" s="1"/>
      <c r="K34" s="1"/>
      <c r="L34" s="1"/>
      <c r="M34" s="1"/>
      <c r="P34" s="12" t="s">
        <v>186</v>
      </c>
      <c r="Q34" s="4">
        <v>316.39999999999998</v>
      </c>
      <c r="R34" s="4">
        <v>263.8</v>
      </c>
      <c r="S34" s="4">
        <v>263.8</v>
      </c>
      <c r="T34" s="4">
        <v>0</v>
      </c>
      <c r="U34" s="4">
        <v>-31.7</v>
      </c>
      <c r="V34" s="4">
        <v>284.7</v>
      </c>
    </row>
    <row r="35" spans="7:22" x14ac:dyDescent="0.2">
      <c r="G35" s="22" t="s">
        <v>66</v>
      </c>
      <c r="H35" s="1"/>
      <c r="I35" s="1"/>
      <c r="J35" s="1"/>
      <c r="K35" s="1"/>
      <c r="L35" s="1"/>
      <c r="M35" s="1"/>
      <c r="P35" s="22"/>
      <c r="Q35" s="1"/>
      <c r="R35" s="1"/>
      <c r="S35" s="1"/>
      <c r="T35" s="1"/>
      <c r="U35" s="1"/>
      <c r="V35" s="1"/>
    </row>
    <row r="36" spans="7:22" x14ac:dyDescent="0.2">
      <c r="G36" s="22" t="s">
        <v>135</v>
      </c>
      <c r="H36" s="1"/>
      <c r="I36" s="1"/>
      <c r="J36" s="1"/>
      <c r="K36" s="1"/>
      <c r="L36" s="1"/>
      <c r="M36" s="1"/>
      <c r="P36" s="24" t="s">
        <v>164</v>
      </c>
      <c r="Q36" s="25"/>
      <c r="R36" s="25"/>
      <c r="S36" s="25"/>
      <c r="T36" s="25"/>
      <c r="U36" s="25"/>
      <c r="V36" s="26"/>
    </row>
    <row r="37" spans="7:22" ht="60" x14ac:dyDescent="0.2">
      <c r="G37" s="22" t="s">
        <v>136</v>
      </c>
      <c r="H37" s="1"/>
      <c r="I37" s="1"/>
      <c r="J37" s="1"/>
      <c r="K37" s="1"/>
      <c r="L37" s="1"/>
      <c r="M37" s="1"/>
      <c r="P37" s="22" t="s">
        <v>64</v>
      </c>
      <c r="Q37" s="1"/>
      <c r="R37" s="1"/>
      <c r="S37" s="1"/>
      <c r="T37" s="1"/>
      <c r="U37" s="1"/>
      <c r="V37" s="1"/>
    </row>
    <row r="38" spans="7:22" ht="252" x14ac:dyDescent="0.2">
      <c r="G38" s="22" t="s">
        <v>71</v>
      </c>
      <c r="H38" s="1"/>
      <c r="I38" s="1"/>
      <c r="J38" s="1"/>
      <c r="K38" s="1"/>
      <c r="L38" s="1"/>
      <c r="M38" s="1"/>
      <c r="P38" s="22" t="s">
        <v>134</v>
      </c>
      <c r="Q38" s="1"/>
      <c r="R38" s="1"/>
      <c r="S38" s="1"/>
      <c r="T38" s="1"/>
      <c r="U38" s="1"/>
      <c r="V38" s="1"/>
    </row>
    <row r="39" spans="7:22" ht="36" x14ac:dyDescent="0.2">
      <c r="G39" s="22" t="s">
        <v>137</v>
      </c>
      <c r="H39" s="1"/>
      <c r="I39" s="1"/>
      <c r="J39" s="1"/>
      <c r="K39" s="1"/>
      <c r="L39" s="1"/>
      <c r="M39" s="1"/>
      <c r="P39" s="22" t="s">
        <v>69</v>
      </c>
      <c r="Q39" s="1"/>
      <c r="R39" s="1"/>
      <c r="S39" s="1"/>
      <c r="T39" s="1"/>
      <c r="U39" s="1"/>
      <c r="V39" s="1"/>
    </row>
    <row r="40" spans="7:22" ht="60" x14ac:dyDescent="0.2">
      <c r="G40" s="22" t="s">
        <v>138</v>
      </c>
      <c r="H40" s="1"/>
      <c r="I40" s="1"/>
      <c r="J40" s="1"/>
      <c r="K40" s="1"/>
      <c r="L40" s="1"/>
      <c r="M40" s="1"/>
      <c r="P40" s="22" t="s">
        <v>66</v>
      </c>
      <c r="Q40" s="1"/>
      <c r="R40" s="1"/>
      <c r="S40" s="1"/>
      <c r="T40" s="1"/>
      <c r="U40" s="1"/>
      <c r="V40" s="1"/>
    </row>
    <row r="41" spans="7:22" ht="36" x14ac:dyDescent="0.2">
      <c r="G41" s="22" t="s">
        <v>139</v>
      </c>
      <c r="H41" s="1"/>
      <c r="I41" s="1"/>
      <c r="J41" s="1"/>
      <c r="K41" s="1"/>
      <c r="L41" s="1"/>
      <c r="M41" s="1"/>
      <c r="P41" s="22" t="s">
        <v>135</v>
      </c>
      <c r="Q41" s="1"/>
      <c r="R41" s="1"/>
      <c r="S41" s="1"/>
      <c r="T41" s="1"/>
      <c r="U41" s="1"/>
      <c r="V41" s="1"/>
    </row>
    <row r="42" spans="7:22" ht="24" x14ac:dyDescent="0.2">
      <c r="G42" s="22" t="s">
        <v>123</v>
      </c>
      <c r="H42" s="1"/>
      <c r="I42" s="1"/>
      <c r="J42" s="1"/>
      <c r="K42" s="1"/>
      <c r="L42" s="1"/>
      <c r="M42" s="1"/>
      <c r="P42" s="22" t="s">
        <v>136</v>
      </c>
      <c r="Q42" s="1"/>
      <c r="R42" s="1"/>
      <c r="S42" s="1"/>
      <c r="T42" s="1"/>
      <c r="U42" s="1"/>
      <c r="V42" s="1"/>
    </row>
    <row r="43" spans="7:22" ht="180" x14ac:dyDescent="0.2">
      <c r="G43" s="22" t="s">
        <v>75</v>
      </c>
      <c r="H43" s="1"/>
      <c r="I43" s="1"/>
      <c r="J43" s="1"/>
      <c r="K43" s="1"/>
      <c r="L43" s="1"/>
      <c r="M43" s="1"/>
      <c r="P43" s="22" t="s">
        <v>71</v>
      </c>
      <c r="Q43" s="1"/>
      <c r="R43" s="1"/>
      <c r="S43" s="1"/>
      <c r="T43" s="1"/>
      <c r="U43" s="1"/>
      <c r="V43" s="1"/>
    </row>
    <row r="44" spans="7:22" ht="48" x14ac:dyDescent="0.2">
      <c r="G44" s="22" t="s">
        <v>140</v>
      </c>
      <c r="H44" s="1"/>
      <c r="I44" s="1"/>
      <c r="J44" s="1"/>
      <c r="K44" s="1"/>
      <c r="L44" s="1"/>
      <c r="M44" s="1"/>
      <c r="P44" s="22" t="s">
        <v>137</v>
      </c>
      <c r="Q44" s="1"/>
      <c r="R44" s="1"/>
      <c r="S44" s="1"/>
      <c r="T44" s="1"/>
      <c r="U44" s="1"/>
      <c r="V44" s="1"/>
    </row>
    <row r="45" spans="7:22" ht="108" x14ac:dyDescent="0.2">
      <c r="G45" s="1"/>
      <c r="H45" s="1"/>
      <c r="I45" s="1"/>
      <c r="J45" s="1"/>
      <c r="K45" s="1"/>
      <c r="L45" s="1"/>
      <c r="M45" s="1"/>
      <c r="P45" s="22" t="s">
        <v>138</v>
      </c>
      <c r="Q45" s="1"/>
      <c r="R45" s="1"/>
      <c r="S45" s="1"/>
      <c r="T45" s="1"/>
      <c r="U45" s="1"/>
      <c r="V45" s="1"/>
    </row>
    <row r="46" spans="7:22" ht="204" x14ac:dyDescent="0.2">
      <c r="G46" s="1"/>
      <c r="H46" s="1"/>
      <c r="I46" s="1"/>
      <c r="J46" s="1"/>
      <c r="K46" s="1"/>
      <c r="L46" s="1"/>
      <c r="M46" s="1"/>
      <c r="P46" s="22" t="s">
        <v>139</v>
      </c>
      <c r="Q46" s="1"/>
      <c r="R46" s="1"/>
      <c r="S46" s="1"/>
      <c r="T46" s="1"/>
      <c r="U46" s="1"/>
      <c r="V46" s="1"/>
    </row>
    <row r="47" spans="7:22" x14ac:dyDescent="0.2">
      <c r="G47" s="1"/>
      <c r="H47" s="1"/>
      <c r="I47" s="1"/>
      <c r="J47" s="1"/>
      <c r="K47" s="1"/>
      <c r="L47" s="1"/>
      <c r="M47" s="1"/>
      <c r="P47" s="22" t="s">
        <v>123</v>
      </c>
      <c r="Q47" s="1"/>
      <c r="R47" s="1"/>
      <c r="S47" s="1"/>
      <c r="T47" s="1"/>
      <c r="U47" s="1"/>
      <c r="V47" s="1"/>
    </row>
    <row r="48" spans="7:22" ht="36" x14ac:dyDescent="0.2">
      <c r="G48" s="1"/>
      <c r="H48" s="1"/>
      <c r="I48" s="1"/>
      <c r="J48" s="1"/>
      <c r="K48" s="1"/>
      <c r="L48" s="1"/>
      <c r="M48" s="1"/>
      <c r="P48" s="22" t="s">
        <v>75</v>
      </c>
      <c r="Q48" s="1"/>
      <c r="R48" s="1"/>
      <c r="S48" s="1"/>
      <c r="T48" s="1"/>
      <c r="U48" s="1"/>
      <c r="V48" s="1"/>
    </row>
    <row r="49" spans="7:22" ht="48" x14ac:dyDescent="0.2">
      <c r="G49" s="1"/>
      <c r="H49" s="1"/>
      <c r="I49" s="1"/>
      <c r="J49" s="1"/>
      <c r="K49" s="1"/>
      <c r="L49" s="1"/>
      <c r="M49" s="1"/>
      <c r="P49" s="22" t="s">
        <v>140</v>
      </c>
      <c r="Q49" s="1"/>
      <c r="R49" s="1"/>
      <c r="S49" s="1"/>
      <c r="T49" s="1"/>
      <c r="U49" s="1"/>
      <c r="V49" s="1"/>
    </row>
    <row r="50" spans="7:22" x14ac:dyDescent="0.2">
      <c r="G50" s="1"/>
      <c r="H50" s="1"/>
      <c r="I50" s="1"/>
      <c r="J50" s="1"/>
      <c r="K50" s="1"/>
      <c r="L50" s="1"/>
      <c r="M50" s="1"/>
      <c r="P50" s="1"/>
      <c r="Q50" s="1"/>
      <c r="R50" s="1"/>
      <c r="S50" s="1"/>
      <c r="T50" s="1"/>
      <c r="U50" s="1"/>
      <c r="V50" s="1"/>
    </row>
    <row r="51" spans="7:22" x14ac:dyDescent="0.2">
      <c r="G51" s="1"/>
      <c r="H51" s="1"/>
      <c r="I51" s="1"/>
      <c r="J51" s="1"/>
      <c r="K51" s="1"/>
      <c r="L51" s="1"/>
      <c r="M51" s="1"/>
      <c r="P51" s="1"/>
      <c r="Q51" s="1"/>
      <c r="R51" s="1"/>
      <c r="S51" s="1"/>
      <c r="T51" s="1"/>
      <c r="U51" s="1"/>
      <c r="V51" s="1"/>
    </row>
    <row r="52" spans="7:22" x14ac:dyDescent="0.2">
      <c r="G52" s="1"/>
      <c r="H52" s="1"/>
      <c r="I52" s="1"/>
      <c r="J52" s="1"/>
      <c r="K52" s="1"/>
      <c r="L52" s="1"/>
      <c r="M52" s="1"/>
      <c r="P52" s="1"/>
      <c r="Q52" s="1"/>
      <c r="R52" s="1"/>
      <c r="S52" s="1"/>
      <c r="T52" s="1"/>
      <c r="U52" s="1"/>
      <c r="V52" s="1"/>
    </row>
    <row r="53" spans="7:22" x14ac:dyDescent="0.2">
      <c r="G53" s="1"/>
      <c r="H53" s="1"/>
      <c r="I53" s="1"/>
      <c r="J53" s="1"/>
      <c r="K53" s="1"/>
      <c r="L53" s="1"/>
      <c r="M53" s="1"/>
      <c r="P53" s="1"/>
      <c r="Q53" s="1"/>
      <c r="R53" s="1"/>
      <c r="S53" s="1"/>
      <c r="T53" s="1"/>
      <c r="U53" s="1"/>
      <c r="V53" s="1"/>
    </row>
    <row r="54" spans="7:22" x14ac:dyDescent="0.2">
      <c r="G54" s="1"/>
      <c r="H54" s="1"/>
      <c r="I54" s="1"/>
      <c r="J54" s="1"/>
      <c r="K54" s="1"/>
      <c r="L54" s="1"/>
      <c r="M54" s="1"/>
      <c r="P54" s="1"/>
      <c r="Q54" s="1"/>
      <c r="R54" s="1"/>
      <c r="S54" s="1"/>
      <c r="T54" s="1"/>
      <c r="U54" s="1"/>
      <c r="V54" s="1"/>
    </row>
    <row r="55" spans="7:22" x14ac:dyDescent="0.2">
      <c r="G55" s="1"/>
      <c r="H55" s="1"/>
      <c r="I55" s="1"/>
      <c r="J55" s="1"/>
      <c r="K55" s="1"/>
      <c r="L55" s="1"/>
      <c r="M55" s="1"/>
      <c r="P55" s="1"/>
      <c r="Q55" s="1"/>
      <c r="R55" s="1"/>
      <c r="S55" s="1"/>
      <c r="T55" s="1"/>
      <c r="U55" s="1"/>
      <c r="V55" s="1"/>
    </row>
    <row r="56" spans="7:22" x14ac:dyDescent="0.2">
      <c r="G56" s="1"/>
      <c r="H56" s="1"/>
      <c r="I56" s="1"/>
      <c r="J56" s="1"/>
      <c r="K56" s="1"/>
      <c r="L56" s="1"/>
      <c r="M56" s="1"/>
      <c r="P56" s="1"/>
      <c r="Q56" s="1"/>
      <c r="R56" s="1"/>
      <c r="S56" s="1"/>
      <c r="T56" s="1"/>
      <c r="U56" s="1"/>
      <c r="V56" s="1"/>
    </row>
    <row r="57" spans="7:22" x14ac:dyDescent="0.2">
      <c r="G57" s="1"/>
      <c r="H57" s="1"/>
      <c r="I57" s="1"/>
      <c r="J57" s="1"/>
      <c r="K57" s="1"/>
      <c r="L57" s="1"/>
      <c r="M57" s="1"/>
      <c r="P57" s="1"/>
      <c r="Q57" s="1"/>
      <c r="R57" s="1"/>
      <c r="S57" s="1"/>
      <c r="T57" s="1"/>
      <c r="U57" s="1"/>
      <c r="V57" s="1"/>
    </row>
    <row r="58" spans="7:22" x14ac:dyDescent="0.2">
      <c r="G58" s="1"/>
      <c r="H58" s="1"/>
      <c r="I58" s="1"/>
      <c r="J58" s="1"/>
      <c r="K58" s="1"/>
      <c r="L58" s="1"/>
      <c r="M58" s="1"/>
      <c r="P58" s="1"/>
      <c r="Q58" s="1"/>
      <c r="R58" s="1"/>
      <c r="S58" s="1"/>
      <c r="T58" s="1"/>
      <c r="U58" s="1"/>
      <c r="V58" s="1"/>
    </row>
    <row r="59" spans="7:22" x14ac:dyDescent="0.2">
      <c r="G59" s="1"/>
      <c r="H59" s="1"/>
      <c r="I59" s="1"/>
      <c r="J59" s="1"/>
      <c r="K59" s="1"/>
      <c r="L59" s="1"/>
      <c r="M59" s="1"/>
      <c r="P59" s="1"/>
      <c r="Q59" s="1"/>
      <c r="R59" s="1"/>
      <c r="S59" s="1"/>
      <c r="T59" s="1"/>
      <c r="U59" s="1"/>
      <c r="V59" s="1"/>
    </row>
    <row r="60" spans="7:22" x14ac:dyDescent="0.2">
      <c r="G60" s="1"/>
      <c r="H60" s="1"/>
      <c r="I60" s="1"/>
      <c r="J60" s="1"/>
      <c r="K60" s="1"/>
      <c r="L60" s="1"/>
      <c r="M60" s="1"/>
      <c r="P60" s="1"/>
      <c r="Q60" s="1"/>
      <c r="R60" s="1"/>
      <c r="S60" s="1"/>
      <c r="T60" s="1"/>
      <c r="U60" s="1"/>
      <c r="V60" s="1"/>
    </row>
    <row r="61" spans="7:22" x14ac:dyDescent="0.2">
      <c r="G61" s="1"/>
      <c r="H61" s="1"/>
      <c r="I61" s="1"/>
      <c r="J61" s="1"/>
      <c r="K61" s="1"/>
      <c r="L61" s="1"/>
      <c r="M61" s="1"/>
      <c r="P61" s="1"/>
      <c r="Q61" s="1"/>
      <c r="R61" s="1"/>
      <c r="S61" s="1"/>
      <c r="T61" s="1"/>
      <c r="U61" s="1"/>
      <c r="V61" s="1"/>
    </row>
    <row r="62" spans="7:22" x14ac:dyDescent="0.2">
      <c r="G62" s="1"/>
      <c r="H62" s="1"/>
      <c r="I62" s="1"/>
      <c r="J62" s="1"/>
      <c r="K62" s="1"/>
      <c r="L62" s="1"/>
      <c r="M62" s="1"/>
      <c r="P62" s="1"/>
      <c r="Q62" s="1"/>
      <c r="R62" s="1"/>
      <c r="S62" s="1"/>
      <c r="T62" s="1"/>
      <c r="U62" s="1"/>
      <c r="V62" s="1"/>
    </row>
    <row r="63" spans="7:22" x14ac:dyDescent="0.2">
      <c r="G63" s="1"/>
      <c r="H63" s="1"/>
      <c r="I63" s="1"/>
      <c r="J63" s="1"/>
      <c r="K63" s="1"/>
      <c r="L63" s="1"/>
      <c r="M63" s="1"/>
      <c r="P63" s="1"/>
      <c r="Q63" s="1"/>
      <c r="R63" s="1"/>
      <c r="S63" s="1"/>
      <c r="T63" s="1"/>
      <c r="U63" s="1"/>
      <c r="V63" s="1"/>
    </row>
    <row r="64" spans="7:22" x14ac:dyDescent="0.2">
      <c r="G64" s="1"/>
      <c r="H64" s="1"/>
      <c r="I64" s="1"/>
      <c r="J64" s="1"/>
      <c r="K64" s="1"/>
      <c r="L64" s="1"/>
      <c r="M64" s="1"/>
      <c r="P64" s="1"/>
      <c r="Q64" s="1"/>
      <c r="R64" s="1"/>
      <c r="S64" s="1"/>
      <c r="T64" s="1"/>
      <c r="U64" s="1"/>
      <c r="V64" s="1"/>
    </row>
    <row r="65" spans="7:22" x14ac:dyDescent="0.2">
      <c r="G65" s="1"/>
      <c r="H65" s="1"/>
      <c r="I65" s="1"/>
      <c r="J65" s="1"/>
      <c r="K65" s="1"/>
      <c r="L65" s="1"/>
      <c r="M65" s="1"/>
      <c r="P65" s="1"/>
      <c r="Q65" s="1"/>
      <c r="R65" s="1"/>
      <c r="S65" s="1"/>
      <c r="T65" s="1"/>
      <c r="U65" s="1"/>
      <c r="V65" s="1"/>
    </row>
    <row r="66" spans="7:22" x14ac:dyDescent="0.2">
      <c r="G66" s="1"/>
      <c r="H66" s="1"/>
      <c r="I66" s="1"/>
      <c r="J66" s="1"/>
      <c r="K66" s="1"/>
      <c r="L66" s="1"/>
      <c r="M66" s="1"/>
      <c r="P66" s="1"/>
      <c r="Q66" s="1"/>
      <c r="R66" s="1"/>
      <c r="S66" s="1"/>
      <c r="T66" s="1"/>
      <c r="U66" s="1"/>
      <c r="V66" s="1"/>
    </row>
    <row r="67" spans="7:22" x14ac:dyDescent="0.2">
      <c r="G67" s="1"/>
      <c r="H67" s="1"/>
      <c r="I67" s="1"/>
      <c r="J67" s="1"/>
      <c r="K67" s="1"/>
      <c r="L67" s="1"/>
      <c r="M67" s="1"/>
      <c r="P67" s="1"/>
      <c r="Q67" s="1"/>
      <c r="R67" s="1"/>
      <c r="S67" s="1"/>
      <c r="T67" s="1"/>
      <c r="U67" s="1"/>
      <c r="V67" s="1"/>
    </row>
    <row r="68" spans="7:22" x14ac:dyDescent="0.2">
      <c r="G68" s="1"/>
      <c r="H68" s="1"/>
      <c r="I68" s="1"/>
      <c r="J68" s="1"/>
      <c r="K68" s="1"/>
      <c r="L68" s="1"/>
      <c r="M68" s="1"/>
      <c r="P68" s="1"/>
      <c r="Q68" s="1"/>
      <c r="R68" s="1"/>
      <c r="S68" s="1"/>
      <c r="T68" s="1"/>
      <c r="U68" s="1"/>
      <c r="V68" s="1"/>
    </row>
    <row r="69" spans="7:22" x14ac:dyDescent="0.2">
      <c r="G69" s="1"/>
      <c r="H69" s="1"/>
      <c r="I69" s="1"/>
      <c r="J69" s="1"/>
      <c r="K69" s="1"/>
      <c r="L69" s="1"/>
      <c r="M69" s="1"/>
      <c r="P69" s="1"/>
      <c r="Q69" s="1"/>
      <c r="R69" s="1"/>
      <c r="S69" s="1"/>
      <c r="T69" s="1"/>
      <c r="U69" s="1"/>
      <c r="V69" s="1"/>
    </row>
    <row r="70" spans="7:22" x14ac:dyDescent="0.2">
      <c r="G70" s="1"/>
      <c r="H70" s="1"/>
      <c r="I70" s="1"/>
      <c r="J70" s="1"/>
      <c r="K70" s="1"/>
      <c r="L70" s="1"/>
      <c r="M70" s="1"/>
      <c r="P70" s="1"/>
      <c r="Q70" s="1"/>
      <c r="R70" s="1"/>
      <c r="S70" s="1"/>
      <c r="T70" s="1"/>
      <c r="U70" s="1"/>
      <c r="V70" s="1"/>
    </row>
    <row r="71" spans="7:22" x14ac:dyDescent="0.2">
      <c r="G71" s="1"/>
      <c r="H71" s="1"/>
      <c r="I71" s="1"/>
      <c r="J71" s="1"/>
      <c r="K71" s="1"/>
      <c r="L71" s="1"/>
      <c r="M71" s="1"/>
      <c r="P71" s="1"/>
      <c r="Q71" s="1"/>
      <c r="R71" s="1"/>
      <c r="S71" s="1"/>
      <c r="T71" s="1"/>
      <c r="U71" s="1"/>
      <c r="V71" s="1"/>
    </row>
    <row r="72" spans="7:22" x14ac:dyDescent="0.2">
      <c r="G72" s="1"/>
      <c r="H72" s="1"/>
      <c r="I72" s="1"/>
      <c r="J72" s="1"/>
      <c r="K72" s="1"/>
      <c r="L72" s="1"/>
      <c r="M72" s="1"/>
      <c r="P72" s="1"/>
      <c r="Q72" s="1"/>
      <c r="R72" s="1"/>
      <c r="S72" s="1"/>
      <c r="T72" s="1"/>
      <c r="U72" s="1"/>
      <c r="V72" s="1"/>
    </row>
    <row r="73" spans="7:22" x14ac:dyDescent="0.2">
      <c r="G73" s="1"/>
      <c r="H73" s="1"/>
      <c r="I73" s="1"/>
      <c r="J73" s="1"/>
      <c r="K73" s="1"/>
      <c r="L73" s="1"/>
      <c r="M73" s="1"/>
      <c r="P73" s="1"/>
      <c r="Q73" s="1"/>
      <c r="R73" s="1"/>
      <c r="S73" s="1"/>
      <c r="T73" s="1"/>
      <c r="U73" s="1"/>
      <c r="V73" s="1"/>
    </row>
    <row r="74" spans="7:22" x14ac:dyDescent="0.2">
      <c r="G74" s="1"/>
      <c r="H74" s="1"/>
      <c r="I74" s="1"/>
      <c r="J74" s="1"/>
      <c r="K74" s="1"/>
      <c r="L74" s="1"/>
      <c r="M74" s="1"/>
      <c r="P74" s="1"/>
      <c r="Q74" s="1"/>
      <c r="R74" s="1"/>
      <c r="S74" s="1"/>
      <c r="T74" s="1"/>
      <c r="U74" s="1"/>
      <c r="V74" s="1"/>
    </row>
    <row r="75" spans="7:22" x14ac:dyDescent="0.2">
      <c r="G75" s="1"/>
      <c r="H75" s="1"/>
      <c r="I75" s="1"/>
      <c r="J75" s="1"/>
      <c r="K75" s="1"/>
      <c r="L75" s="1"/>
      <c r="M75" s="1"/>
      <c r="P75" s="1"/>
      <c r="Q75" s="1"/>
      <c r="R75" s="1"/>
      <c r="S75" s="1"/>
      <c r="T75" s="1"/>
      <c r="U75" s="1"/>
      <c r="V75" s="1"/>
    </row>
    <row r="76" spans="7:22" x14ac:dyDescent="0.2">
      <c r="G76" s="1"/>
      <c r="H76" s="1"/>
      <c r="I76" s="1"/>
      <c r="J76" s="1"/>
      <c r="K76" s="1"/>
      <c r="L76" s="1"/>
      <c r="M76" s="1"/>
      <c r="P76" s="1"/>
      <c r="Q76" s="1"/>
      <c r="R76" s="1"/>
      <c r="S76" s="1"/>
      <c r="T76" s="1"/>
      <c r="U76" s="1"/>
      <c r="V76" s="1"/>
    </row>
    <row r="77" spans="7:22" x14ac:dyDescent="0.2">
      <c r="G77" s="1"/>
      <c r="H77" s="1"/>
      <c r="I77" s="1"/>
      <c r="J77" s="1"/>
      <c r="K77" s="1"/>
      <c r="L77" s="1"/>
      <c r="M77" s="1"/>
      <c r="P77" s="1"/>
      <c r="Q77" s="1"/>
      <c r="R77" s="1"/>
      <c r="S77" s="1"/>
      <c r="T77" s="1"/>
      <c r="U77" s="1"/>
      <c r="V77" s="1"/>
    </row>
    <row r="78" spans="7:22" x14ac:dyDescent="0.2">
      <c r="G78" s="1"/>
      <c r="H78" s="1"/>
      <c r="I78" s="1"/>
      <c r="J78" s="1"/>
      <c r="K78" s="1"/>
      <c r="L78" s="1"/>
      <c r="M78" s="1"/>
      <c r="P78" s="1"/>
      <c r="Q78" s="1"/>
      <c r="R78" s="1"/>
      <c r="S78" s="1"/>
      <c r="T78" s="1"/>
      <c r="U78" s="1"/>
      <c r="V78" s="1"/>
    </row>
    <row r="79" spans="7:22" x14ac:dyDescent="0.2">
      <c r="G79" s="1"/>
      <c r="H79" s="1"/>
      <c r="I79" s="1"/>
      <c r="J79" s="1"/>
      <c r="K79" s="1"/>
      <c r="L79" s="1"/>
      <c r="M79" s="1"/>
      <c r="P79" s="1"/>
      <c r="Q79" s="1"/>
      <c r="R79" s="1"/>
      <c r="S79" s="1"/>
      <c r="T79" s="1"/>
      <c r="U79" s="1"/>
      <c r="V79" s="1"/>
    </row>
    <row r="80" spans="7:22" x14ac:dyDescent="0.2">
      <c r="G80" s="1"/>
      <c r="H80" s="1"/>
      <c r="I80" s="1"/>
      <c r="J80" s="1"/>
      <c r="K80" s="1"/>
      <c r="L80" s="1"/>
      <c r="M80" s="1"/>
      <c r="P80" s="1"/>
      <c r="Q80" s="1"/>
      <c r="R80" s="1"/>
      <c r="S80" s="1"/>
      <c r="T80" s="1"/>
      <c r="U80" s="1"/>
      <c r="V80" s="1"/>
    </row>
    <row r="81" spans="7:22" x14ac:dyDescent="0.2">
      <c r="G81" s="1"/>
      <c r="H81" s="1"/>
      <c r="I81" s="1"/>
      <c r="J81" s="1"/>
      <c r="K81" s="1"/>
      <c r="L81" s="1"/>
      <c r="M81" s="1"/>
      <c r="P81" s="1"/>
      <c r="Q81" s="1"/>
      <c r="R81" s="1"/>
      <c r="S81" s="1"/>
      <c r="T81" s="1"/>
      <c r="U81" s="1"/>
      <c r="V81" s="1"/>
    </row>
    <row r="82" spans="7:22" x14ac:dyDescent="0.2">
      <c r="G82" s="1"/>
      <c r="H82" s="1"/>
      <c r="I82" s="1"/>
      <c r="J82" s="1"/>
      <c r="K82" s="1"/>
      <c r="L82" s="1"/>
      <c r="M82" s="1"/>
      <c r="P82" s="1"/>
      <c r="Q82" s="1"/>
      <c r="R82" s="1"/>
      <c r="S82" s="1"/>
      <c r="T82" s="1"/>
      <c r="U82" s="1"/>
      <c r="V82" s="1"/>
    </row>
    <row r="83" spans="7:22" x14ac:dyDescent="0.2">
      <c r="G83" s="1"/>
      <c r="H83" s="1"/>
      <c r="I83" s="1"/>
      <c r="J83" s="1"/>
      <c r="K83" s="1"/>
      <c r="L83" s="1"/>
      <c r="M83" s="1"/>
      <c r="P83" s="1"/>
      <c r="Q83" s="1"/>
      <c r="R83" s="1"/>
      <c r="S83" s="1"/>
      <c r="T83" s="1"/>
      <c r="U83" s="1"/>
      <c r="V83" s="1"/>
    </row>
    <row r="84" spans="7:22" x14ac:dyDescent="0.2">
      <c r="G84" s="1"/>
      <c r="H84" s="1"/>
      <c r="I84" s="1"/>
      <c r="J84" s="1"/>
      <c r="K84" s="1"/>
      <c r="L84" s="1"/>
      <c r="M84" s="1"/>
      <c r="P84" s="1"/>
      <c r="Q84" s="1"/>
      <c r="R84" s="1"/>
      <c r="S84" s="1"/>
      <c r="T84" s="1"/>
      <c r="U84" s="1"/>
      <c r="V84" s="1"/>
    </row>
    <row r="85" spans="7:22" x14ac:dyDescent="0.2">
      <c r="G85" s="1"/>
      <c r="H85" s="1"/>
      <c r="I85" s="1"/>
      <c r="J85" s="1"/>
      <c r="K85" s="1"/>
      <c r="L85" s="1"/>
      <c r="M85" s="1"/>
      <c r="P85" s="1"/>
      <c r="Q85" s="1"/>
      <c r="R85" s="1"/>
      <c r="S85" s="1"/>
      <c r="T85" s="1"/>
      <c r="U85" s="1"/>
      <c r="V85" s="1"/>
    </row>
    <row r="86" spans="7:22" x14ac:dyDescent="0.2">
      <c r="G86" s="1"/>
      <c r="H86" s="1"/>
      <c r="I86" s="1"/>
      <c r="J86" s="1"/>
      <c r="K86" s="1"/>
      <c r="L86" s="1"/>
      <c r="M86" s="1"/>
      <c r="P86" s="1"/>
      <c r="Q86" s="1"/>
      <c r="R86" s="1"/>
      <c r="S86" s="1"/>
      <c r="T86" s="1"/>
      <c r="U86" s="1"/>
      <c r="V86" s="1"/>
    </row>
    <row r="87" spans="7:22" x14ac:dyDescent="0.2">
      <c r="G87" s="1"/>
      <c r="H87" s="1"/>
      <c r="I87" s="1"/>
      <c r="J87" s="1"/>
      <c r="K87" s="1"/>
      <c r="L87" s="1"/>
      <c r="M87" s="1"/>
      <c r="P87" s="1"/>
      <c r="Q87" s="1"/>
      <c r="R87" s="1"/>
      <c r="S87" s="1"/>
      <c r="T87" s="1"/>
      <c r="U87" s="1"/>
      <c r="V87" s="1"/>
    </row>
    <row r="88" spans="7:22" x14ac:dyDescent="0.2">
      <c r="G88" s="1"/>
      <c r="H88" s="1"/>
      <c r="I88" s="1"/>
      <c r="J88" s="1"/>
      <c r="K88" s="1"/>
      <c r="L88" s="1"/>
      <c r="M88" s="1"/>
      <c r="P88" s="1"/>
      <c r="Q88" s="1"/>
      <c r="R88" s="1"/>
      <c r="S88" s="1"/>
      <c r="T88" s="1"/>
      <c r="U88" s="1"/>
      <c r="V88" s="1"/>
    </row>
    <row r="89" spans="7:22" x14ac:dyDescent="0.2">
      <c r="G89" s="1"/>
      <c r="H89" s="1"/>
      <c r="I89" s="1"/>
      <c r="J89" s="1"/>
      <c r="K89" s="1"/>
      <c r="L89" s="1"/>
      <c r="M89" s="1"/>
      <c r="P89" s="1"/>
      <c r="Q89" s="1"/>
      <c r="R89" s="1"/>
      <c r="S89" s="1"/>
      <c r="T89" s="1"/>
      <c r="U89" s="1"/>
      <c r="V89" s="1"/>
    </row>
    <row r="90" spans="7:22" x14ac:dyDescent="0.2">
      <c r="G90" s="1"/>
      <c r="H90" s="1"/>
      <c r="I90" s="1"/>
      <c r="J90" s="1"/>
      <c r="K90" s="1"/>
      <c r="L90" s="1"/>
      <c r="M90" s="1"/>
      <c r="P90" s="1"/>
      <c r="Q90" s="1"/>
      <c r="R90" s="1"/>
      <c r="S90" s="1"/>
      <c r="T90" s="1"/>
      <c r="U90" s="1"/>
      <c r="V90" s="1"/>
    </row>
    <row r="91" spans="7:22" x14ac:dyDescent="0.2">
      <c r="G91" s="1"/>
      <c r="H91" s="1"/>
      <c r="I91" s="1"/>
      <c r="J91" s="1"/>
      <c r="K91" s="1"/>
      <c r="L91" s="1"/>
      <c r="M91" s="1"/>
      <c r="P91" s="1"/>
      <c r="Q91" s="1"/>
      <c r="R91" s="1"/>
      <c r="S91" s="1"/>
      <c r="T91" s="1"/>
      <c r="U91" s="1"/>
      <c r="V91" s="1"/>
    </row>
    <row r="92" spans="7:22" x14ac:dyDescent="0.2">
      <c r="G92" s="1"/>
      <c r="H92" s="1"/>
      <c r="I92" s="1"/>
      <c r="J92" s="1"/>
      <c r="K92" s="1"/>
      <c r="L92" s="1"/>
      <c r="M92" s="1"/>
      <c r="P92" s="1"/>
      <c r="Q92" s="1"/>
      <c r="R92" s="1"/>
      <c r="S92" s="1"/>
      <c r="T92" s="1"/>
      <c r="U92" s="1"/>
      <c r="V92" s="1"/>
    </row>
    <row r="93" spans="7:22" x14ac:dyDescent="0.2">
      <c r="G93" s="1"/>
      <c r="H93" s="1"/>
      <c r="I93" s="1"/>
      <c r="J93" s="1"/>
      <c r="K93" s="1"/>
      <c r="L93" s="1"/>
      <c r="M93" s="1"/>
      <c r="P93" s="1"/>
      <c r="Q93" s="1"/>
      <c r="R93" s="1"/>
      <c r="S93" s="1"/>
      <c r="T93" s="1"/>
      <c r="U93" s="1"/>
      <c r="V93" s="1"/>
    </row>
    <row r="94" spans="7:22" x14ac:dyDescent="0.2">
      <c r="G94" s="1"/>
      <c r="H94" s="1"/>
      <c r="I94" s="1"/>
      <c r="J94" s="1"/>
      <c r="K94" s="1"/>
      <c r="L94" s="1"/>
      <c r="M94" s="1"/>
      <c r="P94" s="1"/>
      <c r="Q94" s="1"/>
      <c r="R94" s="1"/>
      <c r="S94" s="1"/>
      <c r="T94" s="1"/>
      <c r="U94" s="1"/>
      <c r="V94" s="1"/>
    </row>
    <row r="95" spans="7:22" x14ac:dyDescent="0.2">
      <c r="G95" s="1"/>
      <c r="H95" s="1"/>
      <c r="I95" s="1"/>
      <c r="J95" s="1"/>
      <c r="K95" s="1"/>
      <c r="L95" s="1"/>
      <c r="M95" s="1"/>
      <c r="P95" s="1"/>
      <c r="Q95" s="1"/>
      <c r="R95" s="1"/>
      <c r="S95" s="1"/>
      <c r="T95" s="1"/>
      <c r="U95" s="1"/>
      <c r="V95" s="1"/>
    </row>
    <row r="96" spans="7:22" x14ac:dyDescent="0.2">
      <c r="G96" s="1"/>
      <c r="H96" s="1"/>
      <c r="I96" s="1"/>
      <c r="J96" s="1"/>
      <c r="K96" s="1"/>
      <c r="L96" s="1"/>
      <c r="M96" s="1"/>
      <c r="P96" s="1"/>
      <c r="Q96" s="1"/>
      <c r="R96" s="1"/>
      <c r="S96" s="1"/>
      <c r="T96" s="1"/>
      <c r="U96" s="1"/>
      <c r="V96" s="1"/>
    </row>
    <row r="97" spans="7:22" x14ac:dyDescent="0.2">
      <c r="G97" s="1"/>
      <c r="H97" s="1"/>
      <c r="I97" s="1"/>
      <c r="J97" s="1"/>
      <c r="K97" s="1"/>
      <c r="L97" s="1"/>
      <c r="M97" s="1"/>
      <c r="P97" s="1"/>
      <c r="Q97" s="1"/>
      <c r="R97" s="1"/>
      <c r="S97" s="1"/>
      <c r="T97" s="1"/>
      <c r="U97" s="1"/>
      <c r="V97" s="1"/>
    </row>
    <row r="98" spans="7:22" x14ac:dyDescent="0.2">
      <c r="G98" s="1"/>
      <c r="H98" s="1"/>
      <c r="I98" s="1"/>
      <c r="J98" s="1"/>
      <c r="K98" s="1"/>
      <c r="L98" s="1"/>
      <c r="M98" s="1"/>
      <c r="P98" s="1"/>
      <c r="Q98" s="1"/>
      <c r="R98" s="1"/>
      <c r="S98" s="1"/>
      <c r="T98" s="1"/>
      <c r="U98" s="1"/>
      <c r="V98" s="1"/>
    </row>
    <row r="99" spans="7:22" x14ac:dyDescent="0.2">
      <c r="G99" s="1"/>
      <c r="H99" s="1"/>
      <c r="I99" s="1"/>
      <c r="J99" s="1"/>
      <c r="K99" s="1"/>
      <c r="L99" s="1"/>
      <c r="M99" s="1"/>
      <c r="P99" s="1"/>
      <c r="Q99" s="1"/>
      <c r="R99" s="1"/>
      <c r="S99" s="1"/>
      <c r="T99" s="1"/>
      <c r="U99" s="1"/>
      <c r="V99" s="1"/>
    </row>
    <row r="100" spans="7:22" x14ac:dyDescent="0.2">
      <c r="G100" s="1"/>
      <c r="H100" s="1"/>
      <c r="I100" s="1"/>
      <c r="J100" s="1"/>
      <c r="K100" s="1"/>
      <c r="L100" s="1"/>
      <c r="M100" s="1"/>
      <c r="P100" s="1"/>
      <c r="Q100" s="1"/>
      <c r="R100" s="1"/>
      <c r="S100" s="1"/>
      <c r="T100" s="1"/>
      <c r="U100" s="1"/>
      <c r="V100" s="1"/>
    </row>
    <row r="101" spans="7:22" x14ac:dyDescent="0.2">
      <c r="G101" s="1"/>
      <c r="H101" s="1"/>
      <c r="I101" s="1"/>
      <c r="J101" s="1"/>
      <c r="K101" s="1"/>
      <c r="L101" s="1"/>
      <c r="M101" s="1"/>
      <c r="P101" s="1"/>
      <c r="Q101" s="1"/>
      <c r="R101" s="1"/>
      <c r="S101" s="1"/>
      <c r="T101" s="1"/>
      <c r="U101" s="1"/>
      <c r="V101" s="1"/>
    </row>
    <row r="102" spans="7:22" x14ac:dyDescent="0.2">
      <c r="G102" s="1"/>
      <c r="H102" s="1"/>
      <c r="I102" s="1"/>
      <c r="J102" s="1"/>
      <c r="K102" s="1"/>
      <c r="L102" s="1"/>
      <c r="M102" s="1"/>
      <c r="P102" s="1"/>
      <c r="Q102" s="1"/>
      <c r="R102" s="1"/>
      <c r="S102" s="1"/>
      <c r="T102" s="1"/>
      <c r="U102" s="1"/>
      <c r="V102" s="1"/>
    </row>
    <row r="103" spans="7:22" x14ac:dyDescent="0.2">
      <c r="G103" s="1"/>
      <c r="H103" s="1"/>
      <c r="I103" s="1"/>
      <c r="J103" s="1"/>
      <c r="K103" s="1"/>
      <c r="L103" s="1"/>
      <c r="M103" s="1"/>
      <c r="P103" s="1"/>
      <c r="Q103" s="1"/>
      <c r="R103" s="1"/>
      <c r="S103" s="1"/>
      <c r="T103" s="1"/>
      <c r="U103" s="1"/>
      <c r="V103" s="1"/>
    </row>
    <row r="104" spans="7:22" x14ac:dyDescent="0.2">
      <c r="G104" s="1"/>
      <c r="H104" s="1"/>
      <c r="I104" s="1"/>
      <c r="J104" s="1"/>
      <c r="K104" s="1"/>
      <c r="L104" s="1"/>
      <c r="M104" s="1"/>
      <c r="P104" s="1"/>
      <c r="Q104" s="1"/>
      <c r="R104" s="1"/>
      <c r="S104" s="1"/>
      <c r="T104" s="1"/>
      <c r="U104" s="1"/>
      <c r="V104" s="1"/>
    </row>
    <row r="105" spans="7:22" x14ac:dyDescent="0.2">
      <c r="G105" s="1"/>
      <c r="H105" s="1"/>
      <c r="I105" s="1"/>
      <c r="J105" s="1"/>
      <c r="K105" s="1"/>
      <c r="L105" s="1"/>
      <c r="M105" s="1"/>
      <c r="P105" s="1"/>
      <c r="Q105" s="1"/>
      <c r="R105" s="1"/>
      <c r="S105" s="1"/>
      <c r="T105" s="1"/>
      <c r="U105" s="1"/>
      <c r="V105" s="1"/>
    </row>
    <row r="106" spans="7:22" x14ac:dyDescent="0.2">
      <c r="G106" s="1"/>
      <c r="H106" s="1"/>
      <c r="I106" s="1"/>
      <c r="J106" s="1"/>
      <c r="K106" s="1"/>
      <c r="L106" s="1"/>
      <c r="M106" s="1"/>
      <c r="P106" s="1"/>
      <c r="Q106" s="1"/>
      <c r="R106" s="1"/>
      <c r="S106" s="1"/>
      <c r="T106" s="1"/>
      <c r="U106" s="1"/>
      <c r="V106" s="1"/>
    </row>
    <row r="107" spans="7:22" x14ac:dyDescent="0.2">
      <c r="G107" s="1"/>
      <c r="H107" s="1"/>
      <c r="I107" s="1"/>
      <c r="J107" s="1"/>
      <c r="K107" s="1"/>
      <c r="L107" s="1"/>
      <c r="M107" s="1"/>
      <c r="P107" s="1"/>
      <c r="Q107" s="1"/>
      <c r="R107" s="1"/>
      <c r="S107" s="1"/>
      <c r="T107" s="1"/>
      <c r="U107" s="1"/>
      <c r="V107" s="1"/>
    </row>
    <row r="108" spans="7:22" x14ac:dyDescent="0.2">
      <c r="G108" s="1"/>
      <c r="H108" s="1"/>
      <c r="I108" s="1"/>
      <c r="J108" s="1"/>
      <c r="K108" s="1"/>
      <c r="L108" s="1"/>
      <c r="M108" s="1"/>
      <c r="P108" s="1"/>
      <c r="Q108" s="1"/>
      <c r="R108" s="1"/>
      <c r="S108" s="1"/>
      <c r="T108" s="1"/>
      <c r="U108" s="1"/>
      <c r="V108" s="1"/>
    </row>
    <row r="109" spans="7:22" x14ac:dyDescent="0.2">
      <c r="G109" s="1"/>
      <c r="H109" s="1"/>
      <c r="I109" s="1"/>
      <c r="J109" s="1"/>
      <c r="K109" s="1"/>
      <c r="L109" s="1"/>
      <c r="M109" s="1"/>
      <c r="P109" s="1"/>
      <c r="Q109" s="1"/>
      <c r="R109" s="1"/>
      <c r="S109" s="1"/>
      <c r="T109" s="1"/>
      <c r="U109" s="1"/>
      <c r="V109" s="1"/>
    </row>
    <row r="110" spans="7:22" x14ac:dyDescent="0.2">
      <c r="G110" s="1"/>
      <c r="H110" s="1"/>
      <c r="I110" s="1"/>
      <c r="J110" s="1"/>
      <c r="K110" s="1"/>
      <c r="L110" s="1"/>
      <c r="M110" s="1"/>
      <c r="P110" s="1"/>
      <c r="Q110" s="1"/>
      <c r="R110" s="1"/>
      <c r="S110" s="1"/>
      <c r="T110" s="1"/>
      <c r="U110" s="1"/>
      <c r="V110" s="1"/>
    </row>
    <row r="111" spans="7:22" x14ac:dyDescent="0.2">
      <c r="G111" s="1"/>
      <c r="H111" s="1"/>
      <c r="I111" s="1"/>
      <c r="J111" s="1"/>
      <c r="K111" s="1"/>
      <c r="L111" s="1"/>
      <c r="M111" s="1"/>
      <c r="P111" s="1"/>
      <c r="Q111" s="1"/>
      <c r="R111" s="1"/>
      <c r="S111" s="1"/>
      <c r="T111" s="1"/>
      <c r="U111" s="1"/>
      <c r="V111" s="1"/>
    </row>
    <row r="112" spans="7:22" x14ac:dyDescent="0.2">
      <c r="G112" s="1"/>
      <c r="H112" s="1"/>
      <c r="I112" s="1"/>
      <c r="J112" s="1"/>
      <c r="K112" s="1"/>
      <c r="L112" s="1"/>
      <c r="M112" s="1"/>
      <c r="P112" s="1"/>
      <c r="Q112" s="1"/>
      <c r="R112" s="1"/>
      <c r="S112" s="1"/>
      <c r="T112" s="1"/>
      <c r="U112" s="1"/>
      <c r="V112" s="1"/>
    </row>
    <row r="113" spans="7:22" x14ac:dyDescent="0.2">
      <c r="G113" s="1"/>
      <c r="H113" s="1"/>
      <c r="I113" s="1"/>
      <c r="J113" s="1"/>
      <c r="K113" s="1"/>
      <c r="L113" s="1"/>
      <c r="M113" s="1"/>
      <c r="P113" s="1"/>
      <c r="Q113" s="1"/>
      <c r="R113" s="1"/>
      <c r="S113" s="1"/>
      <c r="T113" s="1"/>
      <c r="U113" s="1"/>
      <c r="V113" s="1"/>
    </row>
    <row r="114" spans="7:22" x14ac:dyDescent="0.2">
      <c r="G114" s="1"/>
      <c r="H114" s="1"/>
      <c r="I114" s="1"/>
      <c r="J114" s="1"/>
      <c r="K114" s="1"/>
      <c r="L114" s="1"/>
      <c r="M114" s="1"/>
      <c r="P114" s="1"/>
      <c r="Q114" s="1"/>
      <c r="R114" s="1"/>
      <c r="S114" s="1"/>
      <c r="T114" s="1"/>
      <c r="U114" s="1"/>
      <c r="V114" s="1"/>
    </row>
    <row r="115" spans="7:22" x14ac:dyDescent="0.2">
      <c r="G115" s="1"/>
      <c r="H115" s="1"/>
      <c r="I115" s="1"/>
      <c r="J115" s="1"/>
      <c r="K115" s="1"/>
      <c r="L115" s="1"/>
      <c r="M115" s="1"/>
      <c r="P115" s="1"/>
      <c r="Q115" s="1"/>
      <c r="R115" s="1"/>
      <c r="S115" s="1"/>
      <c r="T115" s="1"/>
      <c r="U115" s="1"/>
      <c r="V115" s="1"/>
    </row>
    <row r="116" spans="7:22" x14ac:dyDescent="0.2">
      <c r="G116" s="1"/>
      <c r="H116" s="1"/>
      <c r="I116" s="1"/>
      <c r="J116" s="1"/>
      <c r="K116" s="1"/>
      <c r="L116" s="1"/>
      <c r="M116" s="1"/>
      <c r="P116" s="1"/>
      <c r="Q116" s="1"/>
      <c r="R116" s="1"/>
      <c r="S116" s="1"/>
      <c r="T116" s="1"/>
      <c r="U116" s="1"/>
      <c r="V116" s="1"/>
    </row>
    <row r="117" spans="7:22" x14ac:dyDescent="0.2">
      <c r="G117" s="1"/>
      <c r="H117" s="1"/>
      <c r="I117" s="1"/>
      <c r="J117" s="1"/>
      <c r="K117" s="1"/>
      <c r="L117" s="1"/>
      <c r="M117" s="1"/>
      <c r="P117" s="1"/>
      <c r="Q117" s="1"/>
      <c r="R117" s="1"/>
      <c r="S117" s="1"/>
      <c r="T117" s="1"/>
      <c r="U117" s="1"/>
      <c r="V117" s="1"/>
    </row>
    <row r="118" spans="7:22" x14ac:dyDescent="0.2">
      <c r="G118" s="1"/>
      <c r="H118" s="1"/>
      <c r="I118" s="1"/>
      <c r="J118" s="1"/>
      <c r="K118" s="1"/>
      <c r="L118" s="1"/>
      <c r="M118" s="1"/>
      <c r="P118" s="1"/>
      <c r="Q118" s="1"/>
      <c r="R118" s="1"/>
      <c r="S118" s="1"/>
      <c r="T118" s="1"/>
      <c r="U118" s="1"/>
      <c r="V118" s="1"/>
    </row>
    <row r="119" spans="7:22" x14ac:dyDescent="0.2">
      <c r="G119" s="1"/>
      <c r="H119" s="1"/>
      <c r="I119" s="1"/>
      <c r="J119" s="1"/>
      <c r="K119" s="1"/>
      <c r="L119" s="1"/>
      <c r="M119" s="1"/>
      <c r="P119" s="1"/>
      <c r="Q119" s="1"/>
      <c r="R119" s="1"/>
      <c r="S119" s="1"/>
      <c r="T119" s="1"/>
      <c r="U119" s="1"/>
      <c r="V119" s="1"/>
    </row>
    <row r="120" spans="7:22" x14ac:dyDescent="0.2">
      <c r="G120" s="1"/>
      <c r="H120" s="1"/>
      <c r="I120" s="1"/>
      <c r="J120" s="1"/>
      <c r="K120" s="1"/>
      <c r="L120" s="1"/>
      <c r="M120" s="1"/>
      <c r="P120" s="1"/>
      <c r="Q120" s="1"/>
      <c r="R120" s="1"/>
      <c r="S120" s="1"/>
      <c r="T120" s="1"/>
      <c r="U120" s="1"/>
      <c r="V120" s="1"/>
    </row>
    <row r="121" spans="7:22" x14ac:dyDescent="0.2">
      <c r="G121" s="1"/>
      <c r="H121" s="1"/>
      <c r="I121" s="1"/>
      <c r="J121" s="1"/>
      <c r="K121" s="1"/>
      <c r="L121" s="1"/>
      <c r="M121" s="1"/>
      <c r="P121" s="1"/>
      <c r="Q121" s="1"/>
      <c r="R121" s="1"/>
      <c r="S121" s="1"/>
      <c r="T121" s="1"/>
      <c r="U121" s="1"/>
      <c r="V121" s="1"/>
    </row>
    <row r="122" spans="7:22" x14ac:dyDescent="0.2">
      <c r="G122" s="1"/>
      <c r="H122" s="1"/>
      <c r="I122" s="1"/>
      <c r="J122" s="1"/>
      <c r="K122" s="1"/>
      <c r="L122" s="1"/>
      <c r="M122" s="1"/>
      <c r="P122" s="1"/>
      <c r="Q122" s="1"/>
      <c r="R122" s="1"/>
      <c r="S122" s="1"/>
      <c r="T122" s="1"/>
      <c r="U122" s="1"/>
      <c r="V122" s="1"/>
    </row>
    <row r="123" spans="7:22" x14ac:dyDescent="0.2">
      <c r="G123" s="1"/>
      <c r="H123" s="1"/>
      <c r="I123" s="1"/>
      <c r="J123" s="1"/>
      <c r="K123" s="1"/>
      <c r="L123" s="1"/>
      <c r="M123" s="1"/>
      <c r="P123" s="1"/>
      <c r="Q123" s="1"/>
      <c r="R123" s="1"/>
      <c r="S123" s="1"/>
      <c r="T123" s="1"/>
      <c r="U123" s="1"/>
      <c r="V123" s="1"/>
    </row>
    <row r="124" spans="7:22" x14ac:dyDescent="0.2">
      <c r="G124" s="1"/>
      <c r="H124" s="1"/>
      <c r="I124" s="1"/>
      <c r="J124" s="1"/>
      <c r="K124" s="1"/>
      <c r="L124" s="1"/>
      <c r="M124" s="1"/>
      <c r="P124" s="1"/>
      <c r="Q124" s="1"/>
      <c r="R124" s="1"/>
      <c r="S124" s="1"/>
      <c r="T124" s="1"/>
      <c r="U124" s="1"/>
      <c r="V124" s="1"/>
    </row>
    <row r="125" spans="7:22" x14ac:dyDescent="0.2">
      <c r="G125" s="1"/>
      <c r="H125" s="1"/>
      <c r="I125" s="1"/>
      <c r="J125" s="1"/>
      <c r="K125" s="1"/>
      <c r="L125" s="1"/>
      <c r="M125" s="1"/>
      <c r="P125" s="1"/>
      <c r="Q125" s="1"/>
      <c r="R125" s="1"/>
      <c r="S125" s="1"/>
      <c r="T125" s="1"/>
      <c r="U125" s="1"/>
      <c r="V125" s="1"/>
    </row>
    <row r="126" spans="7:22" x14ac:dyDescent="0.2">
      <c r="G126" s="1"/>
      <c r="H126" s="1"/>
      <c r="I126" s="1"/>
      <c r="J126" s="1"/>
      <c r="K126" s="1"/>
      <c r="L126" s="1"/>
      <c r="M126" s="1"/>
      <c r="P126" s="1"/>
      <c r="Q126" s="1"/>
      <c r="R126" s="1"/>
      <c r="S126" s="1"/>
      <c r="T126" s="1"/>
      <c r="U126" s="1"/>
      <c r="V126" s="1"/>
    </row>
    <row r="127" spans="7:22" x14ac:dyDescent="0.2">
      <c r="G127" s="1"/>
      <c r="H127" s="1"/>
      <c r="I127" s="1"/>
      <c r="J127" s="1"/>
      <c r="K127" s="1"/>
      <c r="L127" s="1"/>
      <c r="M127" s="1"/>
      <c r="P127" s="1"/>
      <c r="Q127" s="1"/>
      <c r="R127" s="1"/>
      <c r="S127" s="1"/>
      <c r="T127" s="1"/>
      <c r="U127" s="1"/>
      <c r="V127" s="1"/>
    </row>
    <row r="128" spans="7:22" x14ac:dyDescent="0.2">
      <c r="G128" s="1"/>
      <c r="H128" s="1"/>
      <c r="I128" s="1"/>
      <c r="J128" s="1"/>
      <c r="K128" s="1"/>
      <c r="L128" s="1"/>
      <c r="M128" s="1"/>
      <c r="P128" s="1"/>
      <c r="Q128" s="1"/>
      <c r="R128" s="1"/>
      <c r="S128" s="1"/>
      <c r="T128" s="1"/>
      <c r="U128" s="1"/>
      <c r="V128" s="1"/>
    </row>
    <row r="129" spans="7:22" x14ac:dyDescent="0.2">
      <c r="G129" s="1"/>
      <c r="H129" s="1"/>
      <c r="I129" s="1"/>
      <c r="J129" s="1"/>
      <c r="K129" s="1"/>
      <c r="L129" s="1"/>
      <c r="M129" s="1"/>
      <c r="P129" s="1"/>
      <c r="Q129" s="1"/>
      <c r="R129" s="1"/>
      <c r="S129" s="1"/>
      <c r="T129" s="1"/>
      <c r="U129" s="1"/>
      <c r="V129" s="1"/>
    </row>
    <row r="130" spans="7:22" x14ac:dyDescent="0.2">
      <c r="G130" s="1"/>
      <c r="H130" s="1"/>
      <c r="I130" s="1"/>
      <c r="J130" s="1"/>
      <c r="K130" s="1"/>
      <c r="L130" s="1"/>
      <c r="M130" s="1"/>
      <c r="P130" s="1"/>
      <c r="Q130" s="1"/>
      <c r="R130" s="1"/>
      <c r="S130" s="1"/>
      <c r="T130" s="1"/>
      <c r="U130" s="1"/>
      <c r="V130" s="1"/>
    </row>
    <row r="131" spans="7:22" x14ac:dyDescent="0.2">
      <c r="G131" s="1"/>
      <c r="H131" s="1"/>
      <c r="I131" s="1"/>
      <c r="J131" s="1"/>
      <c r="K131" s="1"/>
      <c r="L131" s="1"/>
      <c r="M131" s="1"/>
      <c r="P131" s="1"/>
      <c r="Q131" s="1"/>
      <c r="R131" s="1"/>
      <c r="S131" s="1"/>
      <c r="T131" s="1"/>
      <c r="U131" s="1"/>
      <c r="V131" s="1"/>
    </row>
    <row r="132" spans="7:22" x14ac:dyDescent="0.2">
      <c r="G132" s="1"/>
      <c r="H132" s="1"/>
      <c r="I132" s="1"/>
      <c r="J132" s="1"/>
      <c r="K132" s="1"/>
      <c r="L132" s="1"/>
      <c r="M132" s="1"/>
      <c r="P132" s="1"/>
      <c r="Q132" s="1"/>
      <c r="R132" s="1"/>
      <c r="S132" s="1"/>
      <c r="T132" s="1"/>
      <c r="U132" s="1"/>
      <c r="V132" s="1"/>
    </row>
    <row r="133" spans="7:22" x14ac:dyDescent="0.2">
      <c r="G133" s="1"/>
      <c r="H133" s="1"/>
      <c r="I133" s="1"/>
      <c r="J133" s="1"/>
      <c r="K133" s="1"/>
      <c r="L133" s="1"/>
      <c r="M133" s="1"/>
      <c r="P133" s="1"/>
      <c r="Q133" s="1"/>
      <c r="R133" s="1"/>
      <c r="S133" s="1"/>
      <c r="T133" s="1"/>
      <c r="U133" s="1"/>
      <c r="V133" s="1"/>
    </row>
    <row r="134" spans="7:22" x14ac:dyDescent="0.2">
      <c r="G134" s="1"/>
      <c r="H134" s="1"/>
      <c r="I134" s="1"/>
      <c r="J134" s="1"/>
      <c r="K134" s="1"/>
      <c r="L134" s="1"/>
      <c r="M134" s="1"/>
      <c r="P134" s="1"/>
      <c r="Q134" s="1"/>
      <c r="R134" s="1"/>
      <c r="S134" s="1"/>
      <c r="T134" s="1"/>
      <c r="U134" s="1"/>
      <c r="V134" s="1"/>
    </row>
    <row r="135" spans="7:22" x14ac:dyDescent="0.2">
      <c r="G135" s="1"/>
      <c r="H135" s="1"/>
      <c r="I135" s="1"/>
      <c r="J135" s="1"/>
      <c r="K135" s="1"/>
      <c r="L135" s="1"/>
      <c r="M135" s="1"/>
      <c r="P135" s="1"/>
      <c r="Q135" s="1"/>
      <c r="R135" s="1"/>
      <c r="S135" s="1"/>
      <c r="T135" s="1"/>
      <c r="U135" s="1"/>
      <c r="V135" s="1"/>
    </row>
    <row r="136" spans="7:22" x14ac:dyDescent="0.2">
      <c r="G136" s="1"/>
      <c r="H136" s="1"/>
      <c r="I136" s="1"/>
      <c r="J136" s="1"/>
      <c r="K136" s="1"/>
      <c r="L136" s="1"/>
      <c r="M136" s="1"/>
      <c r="P136" s="1"/>
      <c r="Q136" s="1"/>
      <c r="R136" s="1"/>
      <c r="S136" s="1"/>
      <c r="T136" s="1"/>
      <c r="U136" s="1"/>
      <c r="V136" s="1"/>
    </row>
    <row r="137" spans="7:22" x14ac:dyDescent="0.2">
      <c r="G137" s="1"/>
      <c r="H137" s="1"/>
      <c r="I137" s="1"/>
      <c r="J137" s="1"/>
      <c r="K137" s="1"/>
      <c r="L137" s="1"/>
      <c r="M137" s="1"/>
      <c r="P137" s="1"/>
      <c r="Q137" s="1"/>
      <c r="R137" s="1"/>
      <c r="S137" s="1"/>
      <c r="T137" s="1"/>
      <c r="U137" s="1"/>
      <c r="V137" s="1"/>
    </row>
    <row r="138" spans="7:22" x14ac:dyDescent="0.2">
      <c r="G138" s="1"/>
      <c r="H138" s="1"/>
      <c r="I138" s="1"/>
      <c r="J138" s="1"/>
      <c r="K138" s="1"/>
      <c r="L138" s="1"/>
      <c r="M138" s="1"/>
      <c r="P138" s="1"/>
      <c r="Q138" s="1"/>
      <c r="R138" s="1"/>
      <c r="S138" s="1"/>
      <c r="T138" s="1"/>
      <c r="U138" s="1"/>
      <c r="V138" s="1"/>
    </row>
    <row r="139" spans="7:22" x14ac:dyDescent="0.2">
      <c r="G139" s="1"/>
      <c r="H139" s="1"/>
      <c r="I139" s="1"/>
      <c r="J139" s="1"/>
      <c r="K139" s="1"/>
      <c r="L139" s="1"/>
      <c r="M139" s="1"/>
      <c r="P139" s="1"/>
      <c r="Q139" s="1"/>
      <c r="R139" s="1"/>
      <c r="S139" s="1"/>
      <c r="T139" s="1"/>
      <c r="U139" s="1"/>
      <c r="V139" s="1"/>
    </row>
    <row r="140" spans="7:22" x14ac:dyDescent="0.2">
      <c r="G140" s="1"/>
      <c r="H140" s="1"/>
      <c r="I140" s="1"/>
      <c r="J140" s="1"/>
      <c r="K140" s="1"/>
      <c r="L140" s="1"/>
      <c r="M140" s="1"/>
      <c r="P140" s="1"/>
      <c r="Q140" s="1"/>
      <c r="R140" s="1"/>
      <c r="S140" s="1"/>
      <c r="T140" s="1"/>
      <c r="U140" s="1"/>
      <c r="V140" s="1"/>
    </row>
    <row r="141" spans="7:22" x14ac:dyDescent="0.2">
      <c r="G141" s="1"/>
      <c r="H141" s="1"/>
      <c r="I141" s="1"/>
      <c r="J141" s="1"/>
      <c r="K141" s="1"/>
      <c r="L141" s="1"/>
      <c r="M141" s="1"/>
      <c r="P141" s="1"/>
      <c r="Q141" s="1"/>
      <c r="R141" s="1"/>
      <c r="S141" s="1"/>
      <c r="T141" s="1"/>
      <c r="U141" s="1"/>
      <c r="V141" s="1"/>
    </row>
    <row r="142" spans="7:22" x14ac:dyDescent="0.2">
      <c r="G142" s="1"/>
      <c r="H142" s="1"/>
      <c r="I142" s="1"/>
      <c r="J142" s="1"/>
      <c r="K142" s="1"/>
      <c r="L142" s="1"/>
      <c r="M142" s="1"/>
      <c r="P142" s="1"/>
      <c r="Q142" s="1"/>
      <c r="R142" s="1"/>
      <c r="S142" s="1"/>
      <c r="T142" s="1"/>
      <c r="U142" s="1"/>
      <c r="V142" s="1"/>
    </row>
    <row r="143" spans="7:22" x14ac:dyDescent="0.2">
      <c r="G143" s="1"/>
      <c r="H143" s="1"/>
      <c r="I143" s="1"/>
      <c r="J143" s="1"/>
      <c r="K143" s="1"/>
      <c r="L143" s="1"/>
      <c r="M143" s="1"/>
      <c r="P143" s="1"/>
      <c r="Q143" s="1"/>
      <c r="R143" s="1"/>
      <c r="S143" s="1"/>
      <c r="T143" s="1"/>
      <c r="U143" s="1"/>
      <c r="V143" s="1"/>
    </row>
    <row r="144" spans="7:22" x14ac:dyDescent="0.2">
      <c r="G144" s="1"/>
      <c r="H144" s="1"/>
      <c r="I144" s="1"/>
      <c r="J144" s="1"/>
      <c r="K144" s="1"/>
      <c r="L144" s="1"/>
      <c r="M144" s="1"/>
      <c r="P144" s="1"/>
      <c r="Q144" s="1"/>
      <c r="R144" s="1"/>
      <c r="S144" s="1"/>
      <c r="T144" s="1"/>
      <c r="U144" s="1"/>
      <c r="V144" s="1"/>
    </row>
    <row r="145" spans="7:22" x14ac:dyDescent="0.2">
      <c r="G145" s="1"/>
      <c r="H145" s="1"/>
      <c r="I145" s="1"/>
      <c r="J145" s="1"/>
      <c r="K145" s="1"/>
      <c r="L145" s="1"/>
      <c r="M145" s="1"/>
      <c r="P145" s="1"/>
      <c r="Q145" s="1"/>
      <c r="R145" s="1"/>
      <c r="S145" s="1"/>
      <c r="T145" s="1"/>
      <c r="U145" s="1"/>
      <c r="V145" s="1"/>
    </row>
    <row r="146" spans="7:22" x14ac:dyDescent="0.2">
      <c r="G146" s="1"/>
      <c r="H146" s="1"/>
      <c r="I146" s="1"/>
      <c r="J146" s="1"/>
      <c r="K146" s="1"/>
      <c r="L146" s="1"/>
      <c r="M146" s="1"/>
      <c r="P146" s="1"/>
      <c r="Q146" s="1"/>
      <c r="R146" s="1"/>
      <c r="S146" s="1"/>
      <c r="T146" s="1"/>
      <c r="U146" s="1"/>
      <c r="V146" s="1"/>
    </row>
    <row r="147" spans="7:22" x14ac:dyDescent="0.2">
      <c r="G147" s="1"/>
      <c r="H147" s="1"/>
      <c r="I147" s="1"/>
      <c r="J147" s="1"/>
      <c r="K147" s="1"/>
      <c r="L147" s="1"/>
      <c r="M147" s="1"/>
      <c r="P147" s="1"/>
      <c r="Q147" s="1"/>
      <c r="R147" s="1"/>
      <c r="S147" s="1"/>
      <c r="T147" s="1"/>
      <c r="U147" s="1"/>
      <c r="V147" s="1"/>
    </row>
    <row r="148" spans="7:22" x14ac:dyDescent="0.2">
      <c r="G148" s="1"/>
      <c r="H148" s="1"/>
      <c r="I148" s="1"/>
      <c r="J148" s="1"/>
      <c r="K148" s="1"/>
      <c r="L148" s="1"/>
      <c r="M148" s="1"/>
      <c r="P148" s="1"/>
      <c r="Q148" s="1"/>
      <c r="R148" s="1"/>
      <c r="S148" s="1"/>
      <c r="T148" s="1"/>
      <c r="U148" s="1"/>
      <c r="V148" s="1"/>
    </row>
    <row r="149" spans="7:22" x14ac:dyDescent="0.2">
      <c r="G149" s="1"/>
      <c r="H149" s="1"/>
      <c r="I149" s="1"/>
      <c r="J149" s="1"/>
      <c r="K149" s="1"/>
      <c r="L149" s="1"/>
      <c r="M149" s="1"/>
      <c r="P149" s="1"/>
      <c r="Q149" s="1"/>
      <c r="R149" s="1"/>
      <c r="S149" s="1"/>
      <c r="T149" s="1"/>
      <c r="U149" s="1"/>
      <c r="V149" s="1"/>
    </row>
    <row r="150" spans="7:22" x14ac:dyDescent="0.2">
      <c r="G150" s="1"/>
      <c r="H150" s="1"/>
      <c r="I150" s="1"/>
      <c r="J150" s="1"/>
      <c r="K150" s="1"/>
      <c r="L150" s="1"/>
      <c r="M150" s="1"/>
      <c r="P150" s="1"/>
      <c r="Q150" s="1"/>
      <c r="R150" s="1"/>
      <c r="S150" s="1"/>
      <c r="T150" s="1"/>
      <c r="U150" s="1"/>
      <c r="V150" s="1"/>
    </row>
    <row r="151" spans="7:22" x14ac:dyDescent="0.2">
      <c r="G151" s="1"/>
      <c r="H151" s="1"/>
      <c r="I151" s="1"/>
      <c r="J151" s="1"/>
      <c r="K151" s="1"/>
      <c r="L151" s="1"/>
      <c r="M151" s="1"/>
      <c r="P151" s="1"/>
      <c r="Q151" s="1"/>
      <c r="R151" s="1"/>
      <c r="S151" s="1"/>
      <c r="T151" s="1"/>
      <c r="U151" s="1"/>
      <c r="V151" s="1"/>
    </row>
    <row r="152" spans="7:22" x14ac:dyDescent="0.2">
      <c r="G152" s="1"/>
      <c r="H152" s="1"/>
      <c r="I152" s="1"/>
      <c r="J152" s="1"/>
      <c r="K152" s="1"/>
      <c r="L152" s="1"/>
      <c r="M152" s="1"/>
      <c r="P152" s="1"/>
      <c r="Q152" s="1"/>
      <c r="R152" s="1"/>
      <c r="S152" s="1"/>
      <c r="T152" s="1"/>
      <c r="U152" s="1"/>
      <c r="V152" s="1"/>
    </row>
    <row r="153" spans="7:22" x14ac:dyDescent="0.2">
      <c r="G153" s="1"/>
      <c r="H153" s="1"/>
      <c r="I153" s="1"/>
      <c r="J153" s="1"/>
      <c r="K153" s="1"/>
      <c r="L153" s="1"/>
      <c r="M153" s="1"/>
      <c r="P153" s="1"/>
      <c r="Q153" s="1"/>
      <c r="R153" s="1"/>
      <c r="S153" s="1"/>
      <c r="T153" s="1"/>
      <c r="U153" s="1"/>
      <c r="V153" s="1"/>
    </row>
    <row r="154" spans="7:22" x14ac:dyDescent="0.2">
      <c r="G154" s="1"/>
      <c r="H154" s="1"/>
      <c r="I154" s="1"/>
      <c r="J154" s="1"/>
      <c r="K154" s="1"/>
      <c r="L154" s="1"/>
      <c r="M154" s="1"/>
      <c r="P154" s="1"/>
      <c r="Q154" s="1"/>
      <c r="R154" s="1"/>
      <c r="S154" s="1"/>
      <c r="T154" s="1"/>
      <c r="U154" s="1"/>
      <c r="V154" s="1"/>
    </row>
    <row r="155" spans="7:22" x14ac:dyDescent="0.2">
      <c r="G155" s="1"/>
      <c r="H155" s="1"/>
      <c r="I155" s="1"/>
      <c r="J155" s="1"/>
      <c r="K155" s="1"/>
      <c r="L155" s="1"/>
      <c r="M155" s="1"/>
      <c r="P155" s="1"/>
      <c r="Q155" s="1"/>
      <c r="R155" s="1"/>
      <c r="S155" s="1"/>
      <c r="T155" s="1"/>
      <c r="U155" s="1"/>
      <c r="V155" s="1"/>
    </row>
    <row r="156" spans="7:22" x14ac:dyDescent="0.2">
      <c r="G156" s="1"/>
      <c r="H156" s="1"/>
      <c r="I156" s="1"/>
      <c r="J156" s="1"/>
      <c r="K156" s="1"/>
      <c r="L156" s="1"/>
      <c r="M156" s="1"/>
      <c r="P156" s="1"/>
      <c r="Q156" s="1"/>
      <c r="R156" s="1"/>
      <c r="S156" s="1"/>
      <c r="T156" s="1"/>
      <c r="U156" s="1"/>
      <c r="V156" s="1"/>
    </row>
    <row r="157" spans="7:22" x14ac:dyDescent="0.2">
      <c r="P157" s="1"/>
      <c r="Q157" s="1"/>
      <c r="R157" s="1"/>
      <c r="S157" s="1"/>
      <c r="T157" s="1"/>
      <c r="U157" s="1"/>
      <c r="V157" s="1"/>
    </row>
    <row r="158" spans="7:22" x14ac:dyDescent="0.2">
      <c r="P158" s="1"/>
      <c r="Q158" s="1"/>
      <c r="R158" s="1"/>
      <c r="S158" s="1"/>
      <c r="T158" s="1"/>
      <c r="U158" s="1"/>
      <c r="V158" s="1"/>
    </row>
    <row r="159" spans="7:22" x14ac:dyDescent="0.2">
      <c r="P159" s="1"/>
      <c r="Q159" s="1"/>
      <c r="R159" s="1"/>
      <c r="S159" s="1"/>
      <c r="T159" s="1"/>
      <c r="U159" s="1"/>
      <c r="V159" s="1"/>
    </row>
    <row r="160" spans="7:22" x14ac:dyDescent="0.2">
      <c r="P160" s="1"/>
      <c r="Q160" s="1"/>
      <c r="R160" s="1"/>
      <c r="S160" s="1"/>
      <c r="T160" s="1"/>
      <c r="U160" s="1"/>
      <c r="V160" s="1"/>
    </row>
    <row r="161" spans="16:22" x14ac:dyDescent="0.2">
      <c r="P161" s="1"/>
      <c r="Q161" s="1"/>
      <c r="R161" s="1"/>
      <c r="S161" s="1"/>
      <c r="T161" s="1"/>
      <c r="U161" s="1"/>
      <c r="V161" s="1"/>
    </row>
    <row r="162" spans="16:22" x14ac:dyDescent="0.2">
      <c r="P162" s="1"/>
      <c r="Q162" s="1"/>
      <c r="R162" s="1"/>
      <c r="S162" s="1"/>
      <c r="T162" s="1"/>
      <c r="U162" s="1"/>
      <c r="V162" s="1"/>
    </row>
    <row r="163" spans="16:22" x14ac:dyDescent="0.2">
      <c r="P163" s="1"/>
      <c r="Q163" s="1"/>
      <c r="R163" s="1"/>
      <c r="S163" s="1"/>
      <c r="T163" s="1"/>
      <c r="U163" s="1"/>
      <c r="V163" s="1"/>
    </row>
    <row r="164" spans="16:22" x14ac:dyDescent="0.2">
      <c r="P164" s="1"/>
      <c r="Q164" s="1"/>
      <c r="R164" s="1"/>
      <c r="S164" s="1"/>
      <c r="T164" s="1"/>
      <c r="U164" s="1"/>
      <c r="V164" s="1"/>
    </row>
    <row r="165" spans="16:22" x14ac:dyDescent="0.2">
      <c r="P165" s="1"/>
      <c r="Q165" s="1"/>
      <c r="R165" s="1"/>
      <c r="S165" s="1"/>
      <c r="T165" s="1"/>
      <c r="U165" s="1"/>
      <c r="V165" s="1"/>
    </row>
    <row r="166" spans="16:22" x14ac:dyDescent="0.2">
      <c r="P166" s="1"/>
      <c r="Q166" s="1"/>
      <c r="R166" s="1"/>
      <c r="S166" s="1"/>
      <c r="T166" s="1"/>
      <c r="U166" s="1"/>
      <c r="V166" s="1"/>
    </row>
    <row r="167" spans="16:22" x14ac:dyDescent="0.2">
      <c r="P167" s="1"/>
      <c r="Q167" s="1"/>
      <c r="R167" s="1"/>
      <c r="S167" s="1"/>
      <c r="T167" s="1"/>
      <c r="U167" s="1"/>
      <c r="V167" s="1"/>
    </row>
    <row r="168" spans="16:22" x14ac:dyDescent="0.2">
      <c r="P168" s="1"/>
      <c r="Q168" s="1"/>
      <c r="R168" s="1"/>
      <c r="S168" s="1"/>
      <c r="T168" s="1"/>
      <c r="U168" s="1"/>
      <c r="V168" s="1"/>
    </row>
    <row r="169" spans="16:22" x14ac:dyDescent="0.2">
      <c r="P169" s="1"/>
      <c r="Q169" s="1"/>
      <c r="R169" s="1"/>
      <c r="S169" s="1"/>
      <c r="T169" s="1"/>
      <c r="U169" s="1"/>
      <c r="V169" s="1"/>
    </row>
    <row r="170" spans="16:22" x14ac:dyDescent="0.2">
      <c r="P170" s="1"/>
      <c r="Q170" s="1"/>
      <c r="R170" s="1"/>
      <c r="S170" s="1"/>
      <c r="T170" s="1"/>
      <c r="U170" s="1"/>
      <c r="V170" s="1"/>
    </row>
    <row r="171" spans="16:22" x14ac:dyDescent="0.2">
      <c r="P171" s="1"/>
      <c r="Q171" s="1"/>
      <c r="R171" s="1"/>
      <c r="S171" s="1"/>
      <c r="T171" s="1"/>
      <c r="U171" s="1"/>
      <c r="V171" s="1"/>
    </row>
    <row r="172" spans="16:22" x14ac:dyDescent="0.2">
      <c r="P172" s="1"/>
      <c r="Q172" s="1"/>
      <c r="R172" s="1"/>
      <c r="S172" s="1"/>
      <c r="T172" s="1"/>
      <c r="U172" s="1"/>
      <c r="V172" s="1"/>
    </row>
    <row r="173" spans="16:22" x14ac:dyDescent="0.2">
      <c r="P173" s="1"/>
      <c r="Q173" s="1"/>
      <c r="R173" s="1"/>
      <c r="S173" s="1"/>
      <c r="T173" s="1"/>
      <c r="U173" s="1"/>
      <c r="V173" s="1"/>
    </row>
    <row r="174" spans="16:22" x14ac:dyDescent="0.2">
      <c r="P174" s="1"/>
      <c r="Q174" s="1"/>
      <c r="R174" s="1"/>
      <c r="S174" s="1"/>
      <c r="T174" s="1"/>
      <c r="U174" s="1"/>
      <c r="V174" s="1"/>
    </row>
    <row r="175" spans="16:22" x14ac:dyDescent="0.2">
      <c r="P175" s="1"/>
      <c r="Q175" s="1"/>
      <c r="R175" s="1"/>
      <c r="S175" s="1"/>
      <c r="T175" s="1"/>
      <c r="U175" s="1"/>
      <c r="V175" s="1"/>
    </row>
    <row r="176" spans="16:22" x14ac:dyDescent="0.2">
      <c r="P176" s="1"/>
      <c r="Q176" s="1"/>
      <c r="R176" s="1"/>
      <c r="S176" s="1"/>
      <c r="T176" s="1"/>
      <c r="U176" s="1"/>
      <c r="V176" s="1"/>
    </row>
    <row r="177" spans="16:22" x14ac:dyDescent="0.2">
      <c r="P177" s="1"/>
      <c r="Q177" s="1"/>
      <c r="R177" s="1"/>
      <c r="S177" s="1"/>
      <c r="T177" s="1"/>
      <c r="U177" s="1"/>
      <c r="V177" s="1"/>
    </row>
    <row r="178" spans="16:22" x14ac:dyDescent="0.2">
      <c r="P178" s="1"/>
      <c r="Q178" s="1"/>
      <c r="R178" s="1"/>
      <c r="S178" s="1"/>
      <c r="T178" s="1"/>
      <c r="U178" s="1"/>
      <c r="V178" s="1"/>
    </row>
    <row r="179" spans="16:22" x14ac:dyDescent="0.2">
      <c r="P179" s="1"/>
      <c r="Q179" s="1"/>
      <c r="R179" s="1"/>
      <c r="S179" s="1"/>
      <c r="T179" s="1"/>
      <c r="U179" s="1"/>
      <c r="V179" s="1"/>
    </row>
    <row r="180" spans="16:22" x14ac:dyDescent="0.2">
      <c r="P180" s="1"/>
      <c r="Q180" s="1"/>
      <c r="R180" s="1"/>
      <c r="S180" s="1"/>
      <c r="T180" s="1"/>
      <c r="U180" s="1"/>
      <c r="V180" s="1"/>
    </row>
    <row r="181" spans="16:22" x14ac:dyDescent="0.2">
      <c r="P181" s="1"/>
      <c r="Q181" s="1"/>
      <c r="R181" s="1"/>
      <c r="S181" s="1"/>
      <c r="T181" s="1"/>
      <c r="U181" s="1"/>
      <c r="V181" s="1"/>
    </row>
    <row r="182" spans="16:22" x14ac:dyDescent="0.2">
      <c r="P182" s="1"/>
      <c r="Q182" s="1"/>
      <c r="R182" s="1"/>
      <c r="S182" s="1"/>
      <c r="T182" s="1"/>
      <c r="U182" s="1"/>
      <c r="V182" s="1"/>
    </row>
    <row r="183" spans="16:22" x14ac:dyDescent="0.2">
      <c r="P183" s="1"/>
      <c r="Q183" s="1"/>
      <c r="R183" s="1"/>
      <c r="S183" s="1"/>
      <c r="T183" s="1"/>
      <c r="U183" s="1"/>
      <c r="V183" s="1"/>
    </row>
    <row r="184" spans="16:22" x14ac:dyDescent="0.2">
      <c r="P184" s="1"/>
      <c r="Q184" s="1"/>
      <c r="R184" s="1"/>
      <c r="S184" s="1"/>
      <c r="T184" s="1"/>
      <c r="U184" s="1"/>
      <c r="V184" s="1"/>
    </row>
    <row r="185" spans="16:22" x14ac:dyDescent="0.2">
      <c r="P185" s="1"/>
      <c r="Q185" s="1"/>
      <c r="R185" s="1"/>
      <c r="S185" s="1"/>
      <c r="T185" s="1"/>
      <c r="U185" s="1"/>
      <c r="V185" s="1"/>
    </row>
    <row r="186" spans="16:22" x14ac:dyDescent="0.2">
      <c r="P186" s="1"/>
      <c r="Q186" s="1"/>
      <c r="R186" s="1"/>
      <c r="S186" s="1"/>
      <c r="T186" s="1"/>
      <c r="U186" s="1"/>
      <c r="V186" s="1"/>
    </row>
    <row r="187" spans="16:22" x14ac:dyDescent="0.2">
      <c r="P187" s="1"/>
      <c r="Q187" s="1"/>
      <c r="R187" s="1"/>
      <c r="S187" s="1"/>
      <c r="T187" s="1"/>
      <c r="U187" s="1"/>
      <c r="V187" s="1"/>
    </row>
    <row r="188" spans="16:22" x14ac:dyDescent="0.2">
      <c r="P188" s="1"/>
      <c r="Q188" s="1"/>
      <c r="R188" s="1"/>
      <c r="S188" s="1"/>
      <c r="T188" s="1"/>
      <c r="U188" s="1"/>
      <c r="V188" s="1"/>
    </row>
    <row r="189" spans="16:22" x14ac:dyDescent="0.2">
      <c r="P189" s="1"/>
      <c r="Q189" s="1"/>
      <c r="R189" s="1"/>
      <c r="S189" s="1"/>
      <c r="T189" s="1"/>
      <c r="U189" s="1"/>
      <c r="V189" s="1"/>
    </row>
    <row r="190" spans="16:22" x14ac:dyDescent="0.2">
      <c r="P190" s="1"/>
      <c r="Q190" s="1"/>
      <c r="R190" s="1"/>
      <c r="S190" s="1"/>
      <c r="T190" s="1"/>
      <c r="U190" s="1"/>
      <c r="V190" s="1"/>
    </row>
    <row r="191" spans="16:22" x14ac:dyDescent="0.2">
      <c r="P191" s="1"/>
      <c r="Q191" s="1"/>
      <c r="R191" s="1"/>
      <c r="S191" s="1"/>
      <c r="T191" s="1"/>
      <c r="U191" s="1"/>
      <c r="V191" s="1"/>
    </row>
    <row r="192" spans="16:22" x14ac:dyDescent="0.2">
      <c r="P192" s="1"/>
      <c r="Q192" s="1"/>
      <c r="R192" s="1"/>
      <c r="S192" s="1"/>
      <c r="T192" s="1"/>
      <c r="U192" s="1"/>
      <c r="V192" s="1"/>
    </row>
    <row r="193" spans="16:22" x14ac:dyDescent="0.2">
      <c r="P193" s="1"/>
      <c r="Q193" s="1"/>
      <c r="R193" s="1"/>
      <c r="S193" s="1"/>
      <c r="T193" s="1"/>
      <c r="U193" s="1"/>
      <c r="V193" s="1"/>
    </row>
    <row r="194" spans="16:22" x14ac:dyDescent="0.2">
      <c r="P194" s="1"/>
      <c r="Q194" s="1"/>
      <c r="R194" s="1"/>
      <c r="S194" s="1"/>
      <c r="T194" s="1"/>
      <c r="U194" s="1"/>
      <c r="V194" s="1"/>
    </row>
    <row r="195" spans="16:22" x14ac:dyDescent="0.2">
      <c r="P195" s="1"/>
      <c r="Q195" s="1"/>
      <c r="R195" s="1"/>
      <c r="S195" s="1"/>
      <c r="T195" s="1"/>
      <c r="U195" s="1"/>
      <c r="V195" s="1"/>
    </row>
    <row r="196" spans="16:22" x14ac:dyDescent="0.2">
      <c r="P196" s="1"/>
      <c r="Q196" s="1"/>
      <c r="R196" s="1"/>
      <c r="S196" s="1"/>
      <c r="T196" s="1"/>
      <c r="U196" s="1"/>
      <c r="V196" s="1"/>
    </row>
    <row r="197" spans="16:22" x14ac:dyDescent="0.2">
      <c r="P197" s="1"/>
      <c r="Q197" s="1"/>
      <c r="R197" s="1"/>
      <c r="S197" s="1"/>
      <c r="T197" s="1"/>
      <c r="U197" s="1"/>
      <c r="V197" s="1"/>
    </row>
    <row r="198" spans="16:22" x14ac:dyDescent="0.2">
      <c r="P198" s="1"/>
      <c r="Q198" s="1"/>
      <c r="R198" s="1"/>
      <c r="S198" s="1"/>
      <c r="T198" s="1"/>
      <c r="U198" s="1"/>
      <c r="V198" s="1"/>
    </row>
    <row r="199" spans="16:22" x14ac:dyDescent="0.2">
      <c r="P199" s="1"/>
      <c r="Q199" s="1"/>
      <c r="R199" s="1"/>
      <c r="S199" s="1"/>
      <c r="T199" s="1"/>
      <c r="U199" s="1"/>
      <c r="V199" s="1"/>
    </row>
    <row r="200" spans="16:22" x14ac:dyDescent="0.2">
      <c r="P200" s="1"/>
      <c r="Q200" s="1"/>
      <c r="R200" s="1"/>
      <c r="S200" s="1"/>
      <c r="T200" s="1"/>
      <c r="U200" s="1"/>
      <c r="V200" s="1"/>
    </row>
    <row r="201" spans="16:22" x14ac:dyDescent="0.2">
      <c r="P201" s="1"/>
      <c r="Q201" s="1"/>
      <c r="R201" s="1"/>
      <c r="S201" s="1"/>
      <c r="T201" s="1"/>
      <c r="U201" s="1"/>
      <c r="V201" s="1"/>
    </row>
    <row r="202" spans="16:22" x14ac:dyDescent="0.2">
      <c r="P202" s="1"/>
      <c r="Q202" s="1"/>
      <c r="R202" s="1"/>
      <c r="S202" s="1"/>
      <c r="T202" s="1"/>
      <c r="U202" s="1"/>
      <c r="V202" s="1"/>
    </row>
    <row r="203" spans="16:22" x14ac:dyDescent="0.2">
      <c r="P203" s="1"/>
      <c r="Q203" s="1"/>
      <c r="R203" s="1"/>
      <c r="S203" s="1"/>
      <c r="T203" s="1"/>
      <c r="U203" s="1"/>
      <c r="V203" s="1"/>
    </row>
    <row r="204" spans="16:22" x14ac:dyDescent="0.2">
      <c r="P204" s="1"/>
      <c r="Q204" s="1"/>
      <c r="R204" s="1"/>
      <c r="S204" s="1"/>
      <c r="T204" s="1"/>
      <c r="U204" s="1"/>
      <c r="V204" s="1"/>
    </row>
    <row r="205" spans="16:22" x14ac:dyDescent="0.2">
      <c r="P205" s="1"/>
      <c r="Q205" s="1"/>
      <c r="R205" s="1"/>
      <c r="S205" s="1"/>
      <c r="T205" s="1"/>
      <c r="U205" s="1"/>
      <c r="V205" s="1"/>
    </row>
    <row r="206" spans="16:22" x14ac:dyDescent="0.2">
      <c r="P206" s="1"/>
      <c r="Q206" s="1"/>
      <c r="R206" s="1"/>
      <c r="S206" s="1"/>
      <c r="T206" s="1"/>
      <c r="U206" s="1"/>
      <c r="V206" s="1"/>
    </row>
    <row r="207" spans="16:22" x14ac:dyDescent="0.2">
      <c r="P207" s="1"/>
      <c r="Q207" s="1"/>
      <c r="R207" s="1"/>
      <c r="S207" s="1"/>
      <c r="T207" s="1"/>
      <c r="U207" s="1"/>
      <c r="V207" s="1"/>
    </row>
    <row r="208" spans="16:22" x14ac:dyDescent="0.2">
      <c r="P208" s="1"/>
      <c r="Q208" s="1"/>
      <c r="R208" s="1"/>
      <c r="S208" s="1"/>
      <c r="T208" s="1"/>
      <c r="U208" s="1"/>
      <c r="V208" s="1"/>
    </row>
    <row r="209" spans="16:22" x14ac:dyDescent="0.2">
      <c r="P209" s="1"/>
      <c r="Q209" s="1"/>
      <c r="R209" s="1"/>
      <c r="S209" s="1"/>
      <c r="T209" s="1"/>
      <c r="U209" s="1"/>
      <c r="V209" s="1"/>
    </row>
    <row r="210" spans="16:22" x14ac:dyDescent="0.2">
      <c r="P210" s="1"/>
      <c r="Q210" s="1"/>
      <c r="R210" s="1"/>
      <c r="S210" s="1"/>
      <c r="T210" s="1"/>
      <c r="U210" s="1"/>
      <c r="V210" s="1"/>
    </row>
    <row r="211" spans="16:22" x14ac:dyDescent="0.2">
      <c r="P211" s="1"/>
      <c r="Q211" s="1"/>
      <c r="R211" s="1"/>
      <c r="S211" s="1"/>
      <c r="T211" s="1"/>
      <c r="U211" s="1"/>
      <c r="V211" s="1"/>
    </row>
    <row r="212" spans="16:22" x14ac:dyDescent="0.2">
      <c r="P212" s="1"/>
      <c r="Q212" s="1"/>
      <c r="R212" s="1"/>
      <c r="S212" s="1"/>
      <c r="T212" s="1"/>
      <c r="U212" s="1"/>
      <c r="V212" s="1"/>
    </row>
    <row r="213" spans="16:22" x14ac:dyDescent="0.2">
      <c r="P213" s="1"/>
      <c r="Q213" s="1"/>
      <c r="R213" s="1"/>
      <c r="S213" s="1"/>
      <c r="T213" s="1"/>
      <c r="U213" s="1"/>
      <c r="V213" s="1"/>
    </row>
    <row r="214" spans="16:22" x14ac:dyDescent="0.2">
      <c r="P214" s="1"/>
      <c r="Q214" s="1"/>
      <c r="R214" s="1"/>
      <c r="S214" s="1"/>
      <c r="T214" s="1"/>
      <c r="U214" s="1"/>
      <c r="V214" s="1"/>
    </row>
    <row r="215" spans="16:22" x14ac:dyDescent="0.2">
      <c r="P215" s="1"/>
      <c r="Q215" s="1"/>
      <c r="R215" s="1"/>
      <c r="S215" s="1"/>
      <c r="T215" s="1"/>
      <c r="U215" s="1"/>
      <c r="V215" s="1"/>
    </row>
    <row r="216" spans="16:22" x14ac:dyDescent="0.2">
      <c r="P216" s="1"/>
      <c r="Q216" s="1"/>
      <c r="R216" s="1"/>
      <c r="S216" s="1"/>
      <c r="T216" s="1"/>
      <c r="U216" s="1"/>
      <c r="V216" s="1"/>
    </row>
    <row r="217" spans="16:22" x14ac:dyDescent="0.2">
      <c r="P217" s="1"/>
      <c r="Q217" s="1"/>
      <c r="R217" s="1"/>
      <c r="S217" s="1"/>
      <c r="T217" s="1"/>
      <c r="U217" s="1"/>
      <c r="V217" s="1"/>
    </row>
    <row r="218" spans="16:22" x14ac:dyDescent="0.2">
      <c r="P218" s="1"/>
      <c r="Q218" s="1"/>
      <c r="R218" s="1"/>
      <c r="S218" s="1"/>
      <c r="T218" s="1"/>
      <c r="U218" s="1"/>
      <c r="V218" s="1"/>
    </row>
    <row r="219" spans="16:22" x14ac:dyDescent="0.2">
      <c r="P219" s="1"/>
      <c r="Q219" s="1"/>
      <c r="R219" s="1"/>
      <c r="S219" s="1"/>
      <c r="T219" s="1"/>
      <c r="U219" s="1"/>
      <c r="V219" s="1"/>
    </row>
    <row r="220" spans="16:22" x14ac:dyDescent="0.2">
      <c r="P220" s="1"/>
      <c r="Q220" s="1"/>
      <c r="R220" s="1"/>
      <c r="S220" s="1"/>
      <c r="T220" s="1"/>
      <c r="U220" s="1"/>
      <c r="V220" s="1"/>
    </row>
    <row r="221" spans="16:22" x14ac:dyDescent="0.2">
      <c r="P221" s="1"/>
      <c r="Q221" s="1"/>
      <c r="R221" s="1"/>
      <c r="S221" s="1"/>
      <c r="T221" s="1"/>
      <c r="U221" s="1"/>
      <c r="V221" s="1"/>
    </row>
    <row r="222" spans="16:22" x14ac:dyDescent="0.2">
      <c r="P222" s="1"/>
      <c r="Q222" s="1"/>
      <c r="R222" s="1"/>
      <c r="S222" s="1"/>
      <c r="T222" s="1"/>
      <c r="U222" s="1"/>
      <c r="V222" s="1"/>
    </row>
    <row r="223" spans="16:22" x14ac:dyDescent="0.2">
      <c r="P223" s="1"/>
      <c r="Q223" s="1"/>
      <c r="R223" s="1"/>
      <c r="S223" s="1"/>
      <c r="T223" s="1"/>
      <c r="U223" s="1"/>
      <c r="V223" s="1"/>
    </row>
    <row r="224" spans="16:22" x14ac:dyDescent="0.2">
      <c r="P224" s="1"/>
      <c r="Q224" s="1"/>
      <c r="R224" s="1"/>
      <c r="S224" s="1"/>
      <c r="T224" s="1"/>
      <c r="U224" s="1"/>
      <c r="V224" s="1"/>
    </row>
    <row r="225" spans="16:22" x14ac:dyDescent="0.2">
      <c r="P225" s="1"/>
      <c r="Q225" s="1"/>
      <c r="R225" s="1"/>
      <c r="S225" s="1"/>
      <c r="T225" s="1"/>
      <c r="U225" s="1"/>
      <c r="V225" s="1"/>
    </row>
    <row r="226" spans="16:22" x14ac:dyDescent="0.2">
      <c r="P226" s="1"/>
      <c r="Q226" s="1"/>
      <c r="R226" s="1"/>
      <c r="S226" s="1"/>
      <c r="T226" s="1"/>
      <c r="U226" s="1"/>
      <c r="V226" s="1"/>
    </row>
    <row r="227" spans="16:22" x14ac:dyDescent="0.2">
      <c r="P227" s="1"/>
      <c r="Q227" s="1"/>
      <c r="R227" s="1"/>
      <c r="S227" s="1"/>
      <c r="T227" s="1"/>
      <c r="U227" s="1"/>
      <c r="V227" s="1"/>
    </row>
    <row r="228" spans="16:22" x14ac:dyDescent="0.2">
      <c r="P228" s="1"/>
      <c r="Q228" s="1"/>
      <c r="R228" s="1"/>
      <c r="S228" s="1"/>
      <c r="T228" s="1"/>
      <c r="U228" s="1"/>
      <c r="V228" s="1"/>
    </row>
    <row r="229" spans="16:22" x14ac:dyDescent="0.2">
      <c r="P229" s="1"/>
      <c r="Q229" s="1"/>
      <c r="R229" s="1"/>
      <c r="S229" s="1"/>
      <c r="T229" s="1"/>
      <c r="U229" s="1"/>
      <c r="V229" s="1"/>
    </row>
    <row r="230" spans="16:22" x14ac:dyDescent="0.2">
      <c r="P230" s="1"/>
      <c r="Q230" s="1"/>
      <c r="R230" s="1"/>
      <c r="S230" s="1"/>
      <c r="T230" s="1"/>
      <c r="U230" s="1"/>
      <c r="V230" s="1"/>
    </row>
    <row r="231" spans="16:22" x14ac:dyDescent="0.2">
      <c r="P231" s="1"/>
      <c r="Q231" s="1"/>
      <c r="R231" s="1"/>
      <c r="S231" s="1"/>
      <c r="T231" s="1"/>
      <c r="U231" s="1"/>
      <c r="V231" s="1"/>
    </row>
    <row r="232" spans="16:22" x14ac:dyDescent="0.2">
      <c r="P232" s="1"/>
      <c r="Q232" s="1"/>
      <c r="R232" s="1"/>
      <c r="S232" s="1"/>
      <c r="T232" s="1"/>
      <c r="U232" s="1"/>
      <c r="V232" s="1"/>
    </row>
    <row r="233" spans="16:22" x14ac:dyDescent="0.2">
      <c r="P233" s="1"/>
      <c r="Q233" s="1"/>
      <c r="R233" s="1"/>
      <c r="S233" s="1"/>
      <c r="T233" s="1"/>
      <c r="U233" s="1"/>
      <c r="V233" s="1"/>
    </row>
    <row r="234" spans="16:22" x14ac:dyDescent="0.2">
      <c r="P234" s="1"/>
      <c r="Q234" s="1"/>
      <c r="R234" s="1"/>
      <c r="S234" s="1"/>
      <c r="T234" s="1"/>
      <c r="U234" s="1"/>
      <c r="V234" s="1"/>
    </row>
    <row r="235" spans="16:22" x14ac:dyDescent="0.2">
      <c r="P235" s="1"/>
      <c r="Q235" s="1"/>
      <c r="R235" s="1"/>
      <c r="S235" s="1"/>
      <c r="T235" s="1"/>
      <c r="U235" s="1"/>
      <c r="V235" s="1"/>
    </row>
    <row r="236" spans="16:22" x14ac:dyDescent="0.2">
      <c r="P236" s="1"/>
      <c r="Q236" s="1"/>
      <c r="R236" s="1"/>
      <c r="S236" s="1"/>
      <c r="T236" s="1"/>
      <c r="U236" s="1"/>
      <c r="V236" s="1"/>
    </row>
    <row r="237" spans="16:22" x14ac:dyDescent="0.2">
      <c r="P237" s="1"/>
      <c r="Q237" s="1"/>
      <c r="R237" s="1"/>
      <c r="S237" s="1"/>
      <c r="T237" s="1"/>
      <c r="U237" s="1"/>
      <c r="V237" s="1"/>
    </row>
    <row r="238" spans="16:22" x14ac:dyDescent="0.2">
      <c r="P238" s="1"/>
      <c r="Q238" s="1"/>
      <c r="R238" s="1"/>
      <c r="S238" s="1"/>
      <c r="T238" s="1"/>
      <c r="U238" s="1"/>
      <c r="V238" s="1"/>
    </row>
    <row r="239" spans="16:22" x14ac:dyDescent="0.2">
      <c r="P239" s="1"/>
      <c r="Q239" s="1"/>
      <c r="R239" s="1"/>
      <c r="S239" s="1"/>
      <c r="T239" s="1"/>
      <c r="U239" s="1"/>
      <c r="V239" s="1"/>
    </row>
    <row r="240" spans="16:22" x14ac:dyDescent="0.2">
      <c r="P240" s="1"/>
      <c r="Q240" s="1"/>
      <c r="R240" s="1"/>
      <c r="S240" s="1"/>
      <c r="T240" s="1"/>
      <c r="U240" s="1"/>
      <c r="V240" s="1"/>
    </row>
    <row r="241" spans="16:22" x14ac:dyDescent="0.2">
      <c r="P241" s="1"/>
      <c r="Q241" s="1"/>
      <c r="R241" s="1"/>
      <c r="S241" s="1"/>
      <c r="T241" s="1"/>
      <c r="U241" s="1"/>
      <c r="V241" s="1"/>
    </row>
    <row r="242" spans="16:22" x14ac:dyDescent="0.2">
      <c r="P242" s="1"/>
      <c r="Q242" s="1"/>
      <c r="R242" s="1"/>
      <c r="S242" s="1"/>
      <c r="T242" s="1"/>
      <c r="U242" s="1"/>
      <c r="V242" s="1"/>
    </row>
    <row r="243" spans="16:22" x14ac:dyDescent="0.2">
      <c r="P243" s="1"/>
      <c r="Q243" s="1"/>
      <c r="R243" s="1"/>
      <c r="S243" s="1"/>
      <c r="T243" s="1"/>
      <c r="U243" s="1"/>
      <c r="V243" s="1"/>
    </row>
    <row r="244" spans="16:22" x14ac:dyDescent="0.2">
      <c r="P244" s="1"/>
      <c r="Q244" s="1"/>
      <c r="R244" s="1"/>
      <c r="S244" s="1"/>
      <c r="T244" s="1"/>
      <c r="U244" s="1"/>
      <c r="V244" s="1"/>
    </row>
    <row r="245" spans="16:22" x14ac:dyDescent="0.2">
      <c r="P245" s="1"/>
      <c r="Q245" s="1"/>
      <c r="R245" s="1"/>
      <c r="S245" s="1"/>
      <c r="T245" s="1"/>
      <c r="U245" s="1"/>
      <c r="V245" s="1"/>
    </row>
    <row r="246" spans="16:22" x14ac:dyDescent="0.2">
      <c r="P246" s="1"/>
      <c r="Q246" s="1"/>
      <c r="R246" s="1"/>
      <c r="S246" s="1"/>
      <c r="T246" s="1"/>
      <c r="U246" s="1"/>
      <c r="V246" s="1"/>
    </row>
    <row r="247" spans="16:22" x14ac:dyDescent="0.2">
      <c r="P247" s="1"/>
      <c r="Q247" s="1"/>
      <c r="R247" s="1"/>
      <c r="S247" s="1"/>
      <c r="T247" s="1"/>
      <c r="U247" s="1"/>
      <c r="V247" s="1"/>
    </row>
    <row r="248" spans="16:22" x14ac:dyDescent="0.2">
      <c r="P248" s="1"/>
      <c r="Q248" s="1"/>
      <c r="R248" s="1"/>
      <c r="S248" s="1"/>
      <c r="T248" s="1"/>
      <c r="U248" s="1"/>
      <c r="V248" s="1"/>
    </row>
    <row r="249" spans="16:22" x14ac:dyDescent="0.2">
      <c r="P249" s="1"/>
      <c r="Q249" s="1"/>
      <c r="R249" s="1"/>
      <c r="S249" s="1"/>
      <c r="T249" s="1"/>
      <c r="U249" s="1"/>
      <c r="V249" s="1"/>
    </row>
    <row r="250" spans="16:22" x14ac:dyDescent="0.2">
      <c r="P250" s="1"/>
      <c r="Q250" s="1"/>
      <c r="R250" s="1"/>
      <c r="S250" s="1"/>
      <c r="T250" s="1"/>
      <c r="U250" s="1"/>
      <c r="V250" s="1"/>
    </row>
    <row r="251" spans="16:22" x14ac:dyDescent="0.2">
      <c r="P251" s="1"/>
      <c r="Q251" s="1"/>
      <c r="R251" s="1"/>
      <c r="S251" s="1"/>
      <c r="T251" s="1"/>
      <c r="U251" s="1"/>
      <c r="V251" s="1"/>
    </row>
    <row r="252" spans="16:22" x14ac:dyDescent="0.2">
      <c r="P252" s="1"/>
      <c r="Q252" s="1"/>
      <c r="R252" s="1"/>
      <c r="S252" s="1"/>
      <c r="T252" s="1"/>
      <c r="U252" s="1"/>
      <c r="V252" s="1"/>
    </row>
    <row r="253" spans="16:22" x14ac:dyDescent="0.2">
      <c r="P253" s="1"/>
      <c r="Q253" s="1"/>
      <c r="R253" s="1"/>
      <c r="S253" s="1"/>
      <c r="T253" s="1"/>
      <c r="U253" s="1"/>
      <c r="V253" s="1"/>
    </row>
    <row r="254" spans="16:22" x14ac:dyDescent="0.2">
      <c r="P254" s="1"/>
      <c r="Q254" s="1"/>
      <c r="R254" s="1"/>
      <c r="S254" s="1"/>
      <c r="T254" s="1"/>
      <c r="U254" s="1"/>
      <c r="V254" s="1"/>
    </row>
    <row r="255" spans="16:22" x14ac:dyDescent="0.2">
      <c r="P255" s="1"/>
      <c r="Q255" s="1"/>
      <c r="R255" s="1"/>
      <c r="S255" s="1"/>
      <c r="T255" s="1"/>
      <c r="U255" s="1"/>
      <c r="V255" s="1"/>
    </row>
    <row r="256" spans="16:22" x14ac:dyDescent="0.2">
      <c r="P256" s="1"/>
      <c r="Q256" s="1"/>
      <c r="R256" s="1"/>
      <c r="S256" s="1"/>
      <c r="T256" s="1"/>
      <c r="U256" s="1"/>
      <c r="V256" s="1"/>
    </row>
    <row r="257" spans="16:22" x14ac:dyDescent="0.2">
      <c r="P257" s="1"/>
      <c r="Q257" s="1"/>
      <c r="R257" s="1"/>
      <c r="S257" s="1"/>
      <c r="T257" s="1"/>
      <c r="U257" s="1"/>
      <c r="V257" s="1"/>
    </row>
    <row r="258" spans="16:22" x14ac:dyDescent="0.2">
      <c r="P258" s="1"/>
      <c r="Q258" s="1"/>
      <c r="R258" s="1"/>
      <c r="S258" s="1"/>
      <c r="T258" s="1"/>
      <c r="U258" s="1"/>
      <c r="V258" s="1"/>
    </row>
    <row r="259" spans="16:22" x14ac:dyDescent="0.2">
      <c r="P259" s="1"/>
      <c r="Q259" s="1"/>
      <c r="R259" s="1"/>
      <c r="S259" s="1"/>
      <c r="T259" s="1"/>
      <c r="U259" s="1"/>
      <c r="V259" s="1"/>
    </row>
    <row r="260" spans="16:22" x14ac:dyDescent="0.2">
      <c r="P260" s="1"/>
      <c r="Q260" s="1"/>
      <c r="R260" s="1"/>
      <c r="S260" s="1"/>
      <c r="T260" s="1"/>
      <c r="U260" s="1"/>
      <c r="V260" s="1"/>
    </row>
    <row r="261" spans="16:22" x14ac:dyDescent="0.2">
      <c r="P261" s="1"/>
      <c r="Q261" s="1"/>
      <c r="R261" s="1"/>
      <c r="S261" s="1"/>
      <c r="T261" s="1"/>
      <c r="U261" s="1"/>
      <c r="V261" s="1"/>
    </row>
    <row r="262" spans="16:22" x14ac:dyDescent="0.2">
      <c r="P262" s="1"/>
      <c r="Q262" s="1"/>
      <c r="R262" s="1"/>
      <c r="S262" s="1"/>
      <c r="T262" s="1"/>
      <c r="U262" s="1"/>
      <c r="V262" s="1"/>
    </row>
    <row r="263" spans="16:22" x14ac:dyDescent="0.2">
      <c r="P263" s="1"/>
      <c r="Q263" s="1"/>
      <c r="R263" s="1"/>
      <c r="S263" s="1"/>
      <c r="T263" s="1"/>
      <c r="U263" s="1"/>
      <c r="V263" s="1"/>
    </row>
    <row r="264" spans="16:22" x14ac:dyDescent="0.2">
      <c r="P264" s="1"/>
      <c r="Q264" s="1"/>
      <c r="R264" s="1"/>
      <c r="S264" s="1"/>
      <c r="T264" s="1"/>
      <c r="U264" s="1"/>
      <c r="V264" s="1"/>
    </row>
    <row r="265" spans="16:22" x14ac:dyDescent="0.2">
      <c r="P265" s="1"/>
      <c r="Q265" s="1"/>
      <c r="R265" s="1"/>
      <c r="S265" s="1"/>
      <c r="T265" s="1"/>
      <c r="U265" s="1"/>
      <c r="V265" s="1"/>
    </row>
    <row r="266" spans="16:22" x14ac:dyDescent="0.2">
      <c r="P266" s="1"/>
      <c r="Q266" s="1"/>
      <c r="R266" s="1"/>
      <c r="S266" s="1"/>
      <c r="T266" s="1"/>
      <c r="U266" s="1"/>
      <c r="V266" s="1"/>
    </row>
    <row r="267" spans="16:22" x14ac:dyDescent="0.2">
      <c r="P267" s="1"/>
      <c r="Q267" s="1"/>
      <c r="R267" s="1"/>
      <c r="S267" s="1"/>
      <c r="T267" s="1"/>
      <c r="U267" s="1"/>
      <c r="V267" s="1"/>
    </row>
    <row r="268" spans="16:22" x14ac:dyDescent="0.2">
      <c r="P268" s="1"/>
      <c r="Q268" s="1"/>
      <c r="R268" s="1"/>
      <c r="S268" s="1"/>
      <c r="T268" s="1"/>
      <c r="U268" s="1"/>
      <c r="V268" s="1"/>
    </row>
    <row r="269" spans="16:22" x14ac:dyDescent="0.2">
      <c r="P269" s="1"/>
      <c r="Q269" s="1"/>
      <c r="R269" s="1"/>
      <c r="S269" s="1"/>
      <c r="T269" s="1"/>
      <c r="U269" s="1"/>
      <c r="V269" s="1"/>
    </row>
    <row r="270" spans="16:22" x14ac:dyDescent="0.2">
      <c r="P270" s="1"/>
      <c r="Q270" s="1"/>
      <c r="R270" s="1"/>
      <c r="S270" s="1"/>
      <c r="T270" s="1"/>
      <c r="U270" s="1"/>
      <c r="V270" s="1"/>
    </row>
  </sheetData>
  <mergeCells count="12">
    <mergeCell ref="G30:M30"/>
    <mergeCell ref="G31:M31"/>
    <mergeCell ref="P1:V1"/>
    <mergeCell ref="P2:P3"/>
    <mergeCell ref="R2:U2"/>
    <mergeCell ref="P36:V36"/>
    <mergeCell ref="A1:D1"/>
    <mergeCell ref="A2:A3"/>
    <mergeCell ref="G1:M1"/>
    <mergeCell ref="G2:G3"/>
    <mergeCell ref="I2:L2"/>
    <mergeCell ref="G29:M29"/>
  </mergeCells>
  <printOptions horizontalCentered="1"/>
  <pageMargins left="0.5" right="0.5" top="0.5" bottom="0.8" header="0" footer="0.5"/>
  <pageSetup fitToHeight="32767" orientation="landscape" errors="blank" horizontalDpi="0"/>
  <headerFooter>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4</vt:i4>
      </vt:variant>
      <vt:variant>
        <vt:lpstr>Plages nommées</vt:lpstr>
      </vt:variant>
      <vt:variant>
        <vt:i4>4</vt:i4>
      </vt:variant>
    </vt:vector>
  </HeadingPairs>
  <TitlesOfParts>
    <vt:vector size="8" baseType="lpstr">
      <vt:lpstr>Ingreso presupuetario SP</vt:lpstr>
      <vt:lpstr>Balance del sector publico</vt:lpstr>
      <vt:lpstr>Situacion financiera del SP</vt:lpstr>
      <vt:lpstr>Saldos de la deuda SP</vt:lpstr>
      <vt:lpstr>'Balance del sector publico'!Impression_des_titres</vt:lpstr>
      <vt:lpstr>'Ingreso presupuetario SP'!Impression_des_titres</vt:lpstr>
      <vt:lpstr>'Saldos de la deuda SP'!Impression_des_titres</vt:lpstr>
      <vt:lpstr>'Situacion financiera del SP'!Impression_des_titres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[object Object]</dc:title>
  <dc:creator/>
  <cp:lastModifiedBy>Gissela Landa Rivera</cp:lastModifiedBy>
  <dcterms:created xsi:type="dcterms:W3CDTF">2018-02-05T13:39:10Z</dcterms:created>
  <dcterms:modified xsi:type="dcterms:W3CDTF">2018-02-05T17:00:36Z</dcterms:modified>
</cp:coreProperties>
</file>